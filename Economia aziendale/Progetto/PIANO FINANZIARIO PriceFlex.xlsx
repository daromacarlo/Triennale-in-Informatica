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iova\Documents\UNIVERSITÀ\informatica\Anno 3\Gestione per lo Start-Up Aziendale\"/>
    </mc:Choice>
  </mc:AlternateContent>
  <xr:revisionPtr revIDLastSave="0" documentId="13_ncr:1_{C6EDD27A-2B36-4E17-A351-5D06EC10C3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te" sheetId="9" r:id="rId1"/>
    <sheet name="Conto Economico" sheetId="2" r:id="rId2"/>
    <sheet name="cash 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2" l="1"/>
  <c r="G32" i="2"/>
  <c r="F32" i="2"/>
  <c r="E32" i="2"/>
  <c r="D32" i="2"/>
  <c r="E21" i="2"/>
  <c r="E33" i="2" s="1"/>
  <c r="H33" i="2"/>
  <c r="G19" i="2"/>
  <c r="H19" i="2"/>
  <c r="F19" i="2"/>
  <c r="E18" i="2"/>
  <c r="F18" i="2"/>
  <c r="G18" i="2"/>
  <c r="G33" i="2"/>
  <c r="E19" i="2"/>
  <c r="D19" i="2"/>
  <c r="F33" i="2"/>
  <c r="E6" i="2"/>
  <c r="F6" i="2"/>
  <c r="G6" i="2"/>
  <c r="H6" i="2"/>
  <c r="D6" i="2"/>
  <c r="H80" i="2"/>
  <c r="G74" i="2"/>
  <c r="H74" i="2"/>
  <c r="F68" i="2"/>
  <c r="G68" i="2"/>
  <c r="H68" i="2"/>
  <c r="E63" i="2"/>
  <c r="F63" i="2"/>
  <c r="G63" i="2"/>
  <c r="H63" i="2"/>
  <c r="E85" i="2"/>
  <c r="F85" i="2"/>
  <c r="G85" i="2"/>
  <c r="E80" i="2"/>
  <c r="F80" i="2"/>
  <c r="E74" i="2"/>
  <c r="H85" i="2"/>
  <c r="D85" i="2"/>
  <c r="G80" i="2"/>
  <c r="D80" i="2"/>
  <c r="F74" i="2"/>
  <c r="D74" i="2"/>
  <c r="D63" i="2"/>
  <c r="D68" i="2"/>
  <c r="E68" i="2"/>
  <c r="D33" i="2"/>
  <c r="D45" i="2"/>
  <c r="H45" i="2"/>
  <c r="G45" i="2"/>
  <c r="F45" i="2"/>
  <c r="E45" i="2"/>
  <c r="C15" i="3"/>
  <c r="B15" i="3"/>
  <c r="F15" i="3"/>
  <c r="E15" i="3"/>
  <c r="D15" i="3"/>
  <c r="D17" i="2" l="1"/>
  <c r="H18" i="2"/>
  <c r="D18" i="2"/>
  <c r="H17" i="2"/>
  <c r="E17" i="2"/>
  <c r="E25" i="2" s="1"/>
  <c r="G17" i="2"/>
  <c r="G25" i="2" s="1"/>
  <c r="F17" i="2"/>
  <c r="F25" i="2" s="1"/>
  <c r="G87" i="2"/>
  <c r="G93" i="2" s="1"/>
  <c r="H93" i="2" s="1"/>
  <c r="H87" i="2"/>
  <c r="H94" i="2" s="1"/>
  <c r="F87" i="2"/>
  <c r="F92" i="2" s="1"/>
  <c r="G92" i="2" s="1"/>
  <c r="H92" i="2" s="1"/>
  <c r="E87" i="2"/>
  <c r="E91" i="2" s="1"/>
  <c r="F91" i="2" s="1"/>
  <c r="G91" i="2" s="1"/>
  <c r="H91" i="2" s="1"/>
  <c r="D87" i="2"/>
  <c r="D90" i="2" s="1"/>
  <c r="F90" i="2" s="1"/>
  <c r="G24" i="2"/>
  <c r="G26" i="2" s="1"/>
  <c r="F24" i="2"/>
  <c r="F26" i="2" s="1"/>
  <c r="E24" i="2"/>
  <c r="E26" i="2" s="1"/>
  <c r="E12" i="2"/>
  <c r="E35" i="2" s="1"/>
  <c r="C20" i="3" s="1"/>
  <c r="C21" i="3" s="1"/>
  <c r="C39" i="3" s="1"/>
  <c r="D24" i="2"/>
  <c r="D26" i="2" s="1"/>
  <c r="F12" i="2"/>
  <c r="F35" i="2" s="1"/>
  <c r="D20" i="3" s="1"/>
  <c r="D21" i="3" s="1"/>
  <c r="D39" i="3" s="1"/>
  <c r="H24" i="2"/>
  <c r="H26" i="2" s="1"/>
  <c r="H12" i="2"/>
  <c r="H35" i="2" s="1"/>
  <c r="F20" i="3" s="1"/>
  <c r="F21" i="3" s="1"/>
  <c r="F39" i="3" s="1"/>
  <c r="G12" i="2"/>
  <c r="G35" i="2" s="1"/>
  <c r="E20" i="3" s="1"/>
  <c r="E21" i="3" s="1"/>
  <c r="E39" i="3" s="1"/>
  <c r="D12" i="2"/>
  <c r="D35" i="2" s="1"/>
  <c r="B20" i="3" s="1"/>
  <c r="B21" i="3" s="1"/>
  <c r="B39" i="3" s="1"/>
  <c r="H25" i="2" l="1"/>
  <c r="H28" i="2" s="1"/>
  <c r="F18" i="3" s="1"/>
  <c r="F19" i="3" s="1"/>
  <c r="F42" i="3" s="1"/>
  <c r="D25" i="2"/>
  <c r="D28" i="2" s="1"/>
  <c r="B18" i="3" s="1"/>
  <c r="B19" i="3" s="1"/>
  <c r="B42" i="3" s="1"/>
  <c r="E5" i="3"/>
  <c r="E6" i="3" s="1"/>
  <c r="E38" i="3" s="1"/>
  <c r="E40" i="3" s="1"/>
  <c r="D5" i="3"/>
  <c r="D6" i="3" s="1"/>
  <c r="D38" i="3" s="1"/>
  <c r="D40" i="3" s="1"/>
  <c r="F5" i="3"/>
  <c r="F6" i="3" s="1"/>
  <c r="F38" i="3" s="1"/>
  <c r="F40" i="3" s="1"/>
  <c r="G28" i="2"/>
  <c r="E18" i="3" s="1"/>
  <c r="E19" i="3" s="1"/>
  <c r="E42" i="3" s="1"/>
  <c r="F28" i="2"/>
  <c r="F47" i="2" s="1"/>
  <c r="G90" i="2"/>
  <c r="G95" i="2" s="1"/>
  <c r="G50" i="2" s="1"/>
  <c r="C5" i="3"/>
  <c r="C6" i="3" s="1"/>
  <c r="C38" i="3" s="1"/>
  <c r="C40" i="3" s="1"/>
  <c r="E28" i="2"/>
  <c r="D95" i="2"/>
  <c r="D50" i="2" s="1"/>
  <c r="H90" i="2"/>
  <c r="H95" i="2" s="1"/>
  <c r="H50" i="2" s="1"/>
  <c r="E90" i="2"/>
  <c r="E95" i="2" s="1"/>
  <c r="E50" i="2" s="1"/>
  <c r="F95" i="2"/>
  <c r="F50" i="2" s="1"/>
  <c r="B5" i="3"/>
  <c r="B6" i="3" s="1"/>
  <c r="B38" i="3" s="1"/>
  <c r="B40" i="3" s="1"/>
  <c r="C18" i="3" l="1"/>
  <c r="C19" i="3" s="1"/>
  <c r="C42" i="3" s="1"/>
  <c r="C44" i="3" s="1"/>
  <c r="E47" i="2"/>
  <c r="E51" i="2" s="1"/>
  <c r="E54" i="2" s="1"/>
  <c r="E56" i="2" s="1"/>
  <c r="F44" i="3"/>
  <c r="F7" i="3"/>
  <c r="H47" i="2"/>
  <c r="H51" i="2" s="1"/>
  <c r="H52" i="2" s="1"/>
  <c r="E44" i="3"/>
  <c r="G47" i="2"/>
  <c r="G51" i="2" s="1"/>
  <c r="G52" i="2" s="1"/>
  <c r="D18" i="3"/>
  <c r="D19" i="3" s="1"/>
  <c r="D42" i="3" s="1"/>
  <c r="D44" i="3" s="1"/>
  <c r="D47" i="2"/>
  <c r="D51" i="2" s="1"/>
  <c r="D52" i="2" s="1"/>
  <c r="B44" i="3"/>
  <c r="B46" i="3" s="1"/>
  <c r="D7" i="3"/>
  <c r="F51" i="2"/>
  <c r="F54" i="2" s="1"/>
  <c r="D26" i="3" s="1"/>
  <c r="E7" i="3"/>
  <c r="C7" i="3"/>
  <c r="B7" i="3"/>
  <c r="C46" i="3" l="1"/>
  <c r="D46" i="3" s="1"/>
  <c r="D54" i="2"/>
  <c r="B26" i="3" s="1"/>
  <c r="G54" i="2"/>
  <c r="E26" i="3" s="1"/>
  <c r="B22" i="3"/>
  <c r="B23" i="3" s="1"/>
  <c r="B25" i="3" s="1"/>
  <c r="H54" i="2"/>
  <c r="F26" i="3" s="1"/>
  <c r="C26" i="3"/>
  <c r="E52" i="2"/>
  <c r="F52" i="2"/>
  <c r="F56" i="2"/>
  <c r="C22" i="3" l="1"/>
  <c r="C23" i="3" s="1"/>
  <c r="C25" i="3" s="1"/>
  <c r="C27" i="3" s="1"/>
  <c r="B27" i="3"/>
  <c r="G56" i="2"/>
  <c r="B29" i="3"/>
  <c r="B31" i="3" s="1"/>
  <c r="D56" i="2"/>
  <c r="H56" i="2"/>
  <c r="E46" i="3"/>
  <c r="D22" i="3"/>
  <c r="D23" i="3" s="1"/>
  <c r="C29" i="3" l="1"/>
  <c r="C31" i="3" s="1"/>
  <c r="D29" i="3"/>
  <c r="D25" i="3"/>
  <c r="D27" i="3" s="1"/>
  <c r="F46" i="3"/>
  <c r="F22" i="3" s="1"/>
  <c r="F23" i="3" s="1"/>
  <c r="F29" i="3" s="1"/>
  <c r="E22" i="3"/>
  <c r="E23" i="3" s="1"/>
  <c r="D31" i="3" l="1"/>
  <c r="E29" i="3"/>
  <c r="E25" i="3"/>
  <c r="E27" i="3" s="1"/>
  <c r="F25" i="3"/>
  <c r="F27" i="3" s="1"/>
  <c r="E31" i="3" l="1"/>
  <c r="F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Giada Colla (Aenduo)</author>
  </authors>
  <commentList>
    <comment ref="A89" authorId="0" shapeId="0" xr:uid="{D648BC19-3810-49E1-94E7-9C50B5DEA365}">
      <text>
        <r>
          <rPr>
            <b/>
            <sz val="9"/>
            <color rgb="FF000000"/>
            <rFont val="Tahoma"/>
            <family val="2"/>
          </rPr>
          <t>Giada Colla (Aenduo):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Depreciation and Amortization = ammortamenti e accantonamenti</t>
        </r>
      </text>
    </comment>
  </commentList>
</comments>
</file>

<file path=xl/sharedStrings.xml><?xml version="1.0" encoding="utf-8"?>
<sst xmlns="http://schemas.openxmlformats.org/spreadsheetml/2006/main" count="128" uniqueCount="107">
  <si>
    <t>Costo unitario</t>
  </si>
  <si>
    <t>Marketing</t>
  </si>
  <si>
    <t>Y1</t>
  </si>
  <si>
    <t>Y2</t>
  </si>
  <si>
    <t>Y3</t>
  </si>
  <si>
    <t>Y4</t>
  </si>
  <si>
    <t>Y5</t>
  </si>
  <si>
    <t>Total investments</t>
  </si>
  <si>
    <t>D&amp;A</t>
  </si>
  <si>
    <t>Total D&amp;A</t>
  </si>
  <si>
    <t>Ebit margin %</t>
  </si>
  <si>
    <t>CASH FLOW</t>
  </si>
  <si>
    <t>Ricavi da servizi</t>
  </si>
  <si>
    <t>Spese commerciali</t>
  </si>
  <si>
    <t>Altri costi</t>
  </si>
  <si>
    <t>INVESTIMENTI</t>
  </si>
  <si>
    <t>uscita per investimenti</t>
  </si>
  <si>
    <t>uscita per IVA investimenti</t>
  </si>
  <si>
    <t>A - TOTALE INVESTIMENTI</t>
  </si>
  <si>
    <t>GESTIONE FINANZIARIA</t>
  </si>
  <si>
    <t>entrata da finanziamento a breve</t>
  </si>
  <si>
    <t>interessi sul finanziamento a breve</t>
  </si>
  <si>
    <t>uscita per restituzione finanziamento a breve</t>
  </si>
  <si>
    <t>B - TOTALE GESTIONE FINANZIARIA</t>
  </si>
  <si>
    <t>GESTIONE OPERATIVA</t>
  </si>
  <si>
    <t>Entrate da ricavi</t>
  </si>
  <si>
    <t>IVA sui ricavi</t>
  </si>
  <si>
    <t>Costi operativi</t>
  </si>
  <si>
    <t>IVA sui costi operativi</t>
  </si>
  <si>
    <t>saldo IVA</t>
  </si>
  <si>
    <t>C - TOTALE GESTIONE OPERATIVA</t>
  </si>
  <si>
    <t>Flusso di cassa operativo</t>
  </si>
  <si>
    <t>Tasse (IRES e IRAP)</t>
  </si>
  <si>
    <t>Flusso di cassa netto</t>
  </si>
  <si>
    <t>FLUSSO DI CASSA TOTALE</t>
  </si>
  <si>
    <t>Investimenti ammortizzabili</t>
  </si>
  <si>
    <t>TOTALE RICAVI</t>
  </si>
  <si>
    <t>Mezzi propri per fase 1</t>
  </si>
  <si>
    <t>Servizi</t>
  </si>
  <si>
    <t>TOTALE UTENTI</t>
  </si>
  <si>
    <t xml:space="preserve">Personale </t>
  </si>
  <si>
    <t>Spese generali</t>
  </si>
  <si>
    <t>Canoni (affitto locali, utenze, ecc.)</t>
  </si>
  <si>
    <t>Ammortamenti (D&amp;A)</t>
  </si>
  <si>
    <t>UTILE/PERDITA D'ESERCIZIO</t>
  </si>
  <si>
    <t>Investimenti anno 1</t>
  </si>
  <si>
    <t>Totale investimenti anno 1</t>
  </si>
  <si>
    <t>Investimenti anno 2</t>
  </si>
  <si>
    <t>Totale investimenti anno 2</t>
  </si>
  <si>
    <t>TOTALE COSTI VARIABILI</t>
  </si>
  <si>
    <t>Investimenti da terzi</t>
  </si>
  <si>
    <t>Workstation (composta da pc, schermi e sistemi operativi)</t>
  </si>
  <si>
    <t>CONTO ECONOMICO</t>
  </si>
  <si>
    <t>Ipotesi di base utilizzate nel modello</t>
  </si>
  <si>
    <t>Non è prevista la distribuzione degli utili in nessuno degli anni considerati</t>
  </si>
  <si>
    <t>L'iva si considera liquidata entro l'anno la fine dell'anno di competenza</t>
  </si>
  <si>
    <t>Le imposte si considerano liquidate entro la fine dell'anno di competenza</t>
  </si>
  <si>
    <t>I costi di personale sono considerati per semplicità comprensivi di TFR</t>
  </si>
  <si>
    <t>Gli investimenti considerati sono di tipo immateriale con ammortamento in 5 anni</t>
  </si>
  <si>
    <t>RICAVI</t>
  </si>
  <si>
    <t>TASSE</t>
  </si>
  <si>
    <t>Investimenti y1</t>
  </si>
  <si>
    <t>Investimenti y2</t>
  </si>
  <si>
    <t>Investimenti y3</t>
  </si>
  <si>
    <t>Investimenti y4</t>
  </si>
  <si>
    <t>Investimenti y5</t>
  </si>
  <si>
    <t>FLUSSO DI CASSA CUMULATO</t>
  </si>
  <si>
    <t>IVA</t>
  </si>
  <si>
    <t>IVA su investimenti</t>
  </si>
  <si>
    <t>IVA su costi operativi</t>
  </si>
  <si>
    <t>Totale IVA</t>
  </si>
  <si>
    <t>IVA su ricavi</t>
  </si>
  <si>
    <t>Bilancio annuale IVA</t>
  </si>
  <si>
    <t>Bilancio totale IVA</t>
  </si>
  <si>
    <t>COSTI</t>
  </si>
  <si>
    <r>
      <t>EBITDA</t>
    </r>
    <r>
      <rPr>
        <sz val="11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( = Ricavi - Costi)</t>
    </r>
  </si>
  <si>
    <r>
      <t>EBIT</t>
    </r>
    <r>
      <rPr>
        <sz val="8"/>
        <color theme="1"/>
        <rFont val="Arial Narrow"/>
        <family val="2"/>
      </rPr>
      <t xml:space="preserve"> ( = EBITDA - D&amp;A)</t>
    </r>
  </si>
  <si>
    <t>COSTI FISSI OPERATIVI</t>
  </si>
  <si>
    <t>TOTALE COSTI FISSI OPERATIVI</t>
  </si>
  <si>
    <t>COSTI VARIABILI OPERATIVI</t>
  </si>
  <si>
    <t>Aziende per spazi pubblicitari</t>
  </si>
  <si>
    <t>Utenti abbonati</t>
  </si>
  <si>
    <t>Visualizzazioni</t>
  </si>
  <si>
    <t>ARPU vendita spazi pubblicitari</t>
  </si>
  <si>
    <t>Ricavi da vendita spazi pubblicitari</t>
  </si>
  <si>
    <t>ARPU vendita abbonamenti</t>
  </si>
  <si>
    <t>Ricavi da vendita abbonamenti</t>
  </si>
  <si>
    <t>Affiliazioni</t>
  </si>
  <si>
    <t>Quantità affiliazioni</t>
  </si>
  <si>
    <t>ARPU affiliazioni</t>
  </si>
  <si>
    <t>Ricavi da affiliazioni</t>
  </si>
  <si>
    <t>Costi per gestione server per utenti</t>
  </si>
  <si>
    <t>Licenze</t>
  </si>
  <si>
    <t>Investimenti per sviluppo sperimentale (AI)</t>
  </si>
  <si>
    <t>Totale investimenti anno 3</t>
  </si>
  <si>
    <t>Investimenti anno 3</t>
  </si>
  <si>
    <t>Investimenti anno 4</t>
  </si>
  <si>
    <t>Totale investimenti anno 4</t>
  </si>
  <si>
    <t>Investimenti anno 5</t>
  </si>
  <si>
    <t>Totale investimenti anno 5</t>
  </si>
  <si>
    <t>Aziende per spazi pubblicitari Premium</t>
  </si>
  <si>
    <t>Visualizzazioni mensili</t>
  </si>
  <si>
    <t>ARPU vendita spazi pubblicitari Premium</t>
  </si>
  <si>
    <t>Ricavi da vendita spazi pubblicitari Premium</t>
  </si>
  <si>
    <t>Aggiornamenti web-site</t>
  </si>
  <si>
    <t>Sviluppo web-site</t>
  </si>
  <si>
    <t>Costi affiliazioni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</si>
</sst>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[$€-410]\ * #,##0.00_-;\-[$€-410]\ * #,##0.00_-;_-[$€-410]\ * &quot;-&quot;??_-;_-@_-"/>
    <numFmt numFmtId="167" formatCode="_-[$€-410]\ * #,##0_-;\-[$€-410]\ * #,##0_-;_-[$€-410]\ * &quot;-&quot;??_-;_-@_-"/>
    <numFmt numFmtId="168" formatCode="_-&quot;€&quot;* #,##0_-;\-&quot;€&quot;* #,##0_-;_-&quot;€&quot;* &quot;-&quot;??_-;_-@_-"/>
    <numFmt numFmtId="169" formatCode="_-* #,##0.00\ [$€-410]_-;\-* #,##0.00\ [$€-410]_-;_-* &quot;-&quot;??\ [$€-410]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1"/>
      <name val="Arial Narrow"/>
      <family val="2"/>
    </font>
    <font>
      <sz val="8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b/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sz val="8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</cellStyleXfs>
  <cellXfs count="177">
    <xf numFmtId="0" fontId="0" fillId="0" borderId="0" xfId="0"/>
    <xf numFmtId="0" fontId="0" fillId="0" borderId="4" xfId="0" applyBorder="1"/>
    <xf numFmtId="0" fontId="0" fillId="0" borderId="5" xfId="0" applyBorder="1"/>
    <xf numFmtId="3" fontId="8" fillId="0" borderId="0" xfId="0" applyNumberFormat="1" applyFont="1"/>
    <xf numFmtId="3" fontId="9" fillId="0" borderId="0" xfId="0" applyNumberFormat="1" applyFont="1"/>
    <xf numFmtId="3" fontId="7" fillId="0" borderId="0" xfId="0" applyNumberFormat="1" applyFont="1"/>
    <xf numFmtId="3" fontId="12" fillId="0" borderId="0" xfId="0" applyNumberFormat="1" applyFont="1"/>
    <xf numFmtId="0" fontId="11" fillId="0" borderId="1" xfId="0" applyFont="1" applyBorder="1"/>
    <xf numFmtId="3" fontId="8" fillId="0" borderId="2" xfId="0" applyNumberFormat="1" applyFont="1" applyBorder="1"/>
    <xf numFmtId="3" fontId="10" fillId="0" borderId="2" xfId="0" applyNumberFormat="1" applyFont="1" applyBorder="1"/>
    <xf numFmtId="3" fontId="10" fillId="0" borderId="3" xfId="0" applyNumberFormat="1" applyFont="1" applyBorder="1"/>
    <xf numFmtId="0" fontId="8" fillId="0" borderId="4" xfId="0" applyFont="1" applyBorder="1"/>
    <xf numFmtId="3" fontId="8" fillId="0" borderId="5" xfId="0" applyNumberFormat="1" applyFont="1" applyBorder="1"/>
    <xf numFmtId="3" fontId="7" fillId="0" borderId="7" xfId="0" applyNumberFormat="1" applyFont="1" applyBorder="1"/>
    <xf numFmtId="3" fontId="7" fillId="0" borderId="8" xfId="0" applyNumberFormat="1" applyFont="1" applyBorder="1"/>
    <xf numFmtId="3" fontId="7" fillId="0" borderId="2" xfId="0" applyNumberFormat="1" applyFont="1" applyBorder="1"/>
    <xf numFmtId="3" fontId="12" fillId="0" borderId="2" xfId="0" applyNumberFormat="1" applyFont="1" applyBorder="1"/>
    <xf numFmtId="3" fontId="12" fillId="0" borderId="3" xfId="0" applyNumberFormat="1" applyFont="1" applyBorder="1"/>
    <xf numFmtId="3" fontId="6" fillId="0" borderId="0" xfId="0" applyNumberFormat="1" applyFont="1"/>
    <xf numFmtId="0" fontId="7" fillId="0" borderId="12" xfId="0" applyFont="1" applyBorder="1" applyAlignment="1">
      <alignment vertical="top" wrapText="1"/>
    </xf>
    <xf numFmtId="3" fontId="7" fillId="0" borderId="13" xfId="0" applyNumberFormat="1" applyFont="1" applyBorder="1"/>
    <xf numFmtId="3" fontId="7" fillId="0" borderId="14" xfId="0" applyNumberFormat="1" applyFont="1" applyBorder="1"/>
    <xf numFmtId="0" fontId="7" fillId="0" borderId="1" xfId="0" applyFont="1" applyBorder="1" applyAlignment="1">
      <alignment vertical="top" wrapText="1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6" xfId="0" applyFont="1" applyBorder="1" applyAlignment="1">
      <alignment vertical="top" wrapText="1"/>
    </xf>
    <xf numFmtId="0" fontId="13" fillId="0" borderId="0" xfId="0" applyFont="1"/>
    <xf numFmtId="0" fontId="14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3" fontId="13" fillId="0" borderId="0" xfId="0" applyNumberFormat="1" applyFont="1"/>
    <xf numFmtId="3" fontId="13" fillId="0" borderId="5" xfId="0" applyNumberFormat="1" applyFont="1" applyBorder="1"/>
    <xf numFmtId="0" fontId="14" fillId="0" borderId="4" xfId="0" applyFont="1" applyBorder="1"/>
    <xf numFmtId="3" fontId="14" fillId="0" borderId="0" xfId="0" applyNumberFormat="1" applyFont="1"/>
    <xf numFmtId="3" fontId="14" fillId="0" borderId="5" xfId="0" applyNumberFormat="1" applyFont="1" applyBorder="1"/>
    <xf numFmtId="0" fontId="13" fillId="0" borderId="5" xfId="0" applyFont="1" applyBorder="1"/>
    <xf numFmtId="0" fontId="14" fillId="0" borderId="12" xfId="0" applyFont="1" applyBorder="1"/>
    <xf numFmtId="3" fontId="14" fillId="0" borderId="13" xfId="0" applyNumberFormat="1" applyFont="1" applyBorder="1"/>
    <xf numFmtId="3" fontId="14" fillId="0" borderId="14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3" fontId="4" fillId="0" borderId="0" xfId="0" applyNumberFormat="1" applyFont="1"/>
    <xf numFmtId="0" fontId="4" fillId="0" borderId="4" xfId="0" applyFont="1" applyBorder="1"/>
    <xf numFmtId="165" fontId="4" fillId="0" borderId="0" xfId="2" applyNumberFormat="1" applyFont="1" applyBorder="1"/>
    <xf numFmtId="3" fontId="4" fillId="0" borderId="0" xfId="1" applyNumberFormat="1" applyFont="1" applyBorder="1"/>
    <xf numFmtId="165" fontId="4" fillId="0" borderId="0" xfId="2" applyNumberFormat="1" applyFont="1"/>
    <xf numFmtId="165" fontId="4" fillId="0" borderId="2" xfId="2" applyNumberFormat="1" applyFont="1" applyBorder="1"/>
    <xf numFmtId="3" fontId="4" fillId="0" borderId="2" xfId="1" applyNumberFormat="1" applyFont="1" applyBorder="1"/>
    <xf numFmtId="3" fontId="4" fillId="0" borderId="5" xfId="0" applyNumberFormat="1" applyFont="1" applyBorder="1"/>
    <xf numFmtId="0" fontId="4" fillId="0" borderId="2" xfId="0" applyFont="1" applyBorder="1"/>
    <xf numFmtId="164" fontId="4" fillId="0" borderId="2" xfId="1" applyNumberFormat="1" applyFont="1" applyBorder="1"/>
    <xf numFmtId="164" fontId="4" fillId="0" borderId="3" xfId="1" applyNumberFormat="1" applyFont="1" applyBorder="1"/>
    <xf numFmtId="164" fontId="4" fillId="0" borderId="0" xfId="1" applyNumberFormat="1" applyFont="1" applyBorder="1"/>
    <xf numFmtId="164" fontId="4" fillId="0" borderId="5" xfId="1" applyNumberFormat="1" applyFont="1" applyBorder="1"/>
    <xf numFmtId="0" fontId="14" fillId="3" borderId="9" xfId="0" applyFont="1" applyFill="1" applyBorder="1"/>
    <xf numFmtId="0" fontId="4" fillId="3" borderId="10" xfId="0" applyFont="1" applyFill="1" applyBorder="1"/>
    <xf numFmtId="164" fontId="14" fillId="3" borderId="10" xfId="1" applyNumberFormat="1" applyFont="1" applyFill="1" applyBorder="1"/>
    <xf numFmtId="164" fontId="14" fillId="3" borderId="11" xfId="1" applyNumberFormat="1" applyFont="1" applyFill="1" applyBorder="1"/>
    <xf numFmtId="164" fontId="4" fillId="0" borderId="0" xfId="1" applyNumberFormat="1" applyFont="1"/>
    <xf numFmtId="0" fontId="16" fillId="0" borderId="1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3" fontId="4" fillId="0" borderId="7" xfId="0" applyNumberFormat="1" applyFont="1" applyBorder="1"/>
    <xf numFmtId="164" fontId="4" fillId="0" borderId="7" xfId="1" applyNumberFormat="1" applyFont="1" applyBorder="1"/>
    <xf numFmtId="164" fontId="4" fillId="0" borderId="8" xfId="1" applyNumberFormat="1" applyFont="1" applyBorder="1"/>
    <xf numFmtId="0" fontId="17" fillId="0" borderId="9" xfId="0" applyFont="1" applyBorder="1"/>
    <xf numFmtId="0" fontId="17" fillId="0" borderId="15" xfId="0" applyFont="1" applyBorder="1"/>
    <xf numFmtId="9" fontId="17" fillId="0" borderId="15" xfId="2" applyFont="1" applyBorder="1"/>
    <xf numFmtId="9" fontId="17" fillId="0" borderId="16" xfId="2" applyFont="1" applyBorder="1"/>
    <xf numFmtId="167" fontId="4" fillId="0" borderId="2" xfId="0" applyNumberFormat="1" applyFont="1" applyBorder="1"/>
    <xf numFmtId="167" fontId="4" fillId="0" borderId="3" xfId="0" applyNumberFormat="1" applyFont="1" applyBorder="1"/>
    <xf numFmtId="0" fontId="17" fillId="0" borderId="12" xfId="0" applyFont="1" applyBorder="1"/>
    <xf numFmtId="0" fontId="17" fillId="0" borderId="17" xfId="0" applyFont="1" applyBorder="1"/>
    <xf numFmtId="9" fontId="17" fillId="0" borderId="17" xfId="2" applyFont="1" applyBorder="1"/>
    <xf numFmtId="9" fontId="17" fillId="0" borderId="18" xfId="2" applyFont="1" applyBorder="1"/>
    <xf numFmtId="9" fontId="17" fillId="0" borderId="0" xfId="2" applyFont="1" applyBorder="1"/>
    <xf numFmtId="3" fontId="17" fillId="0" borderId="0" xfId="3" applyNumberFormat="1" applyFont="1" applyBorder="1"/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7" xfId="0" applyFont="1" applyFill="1" applyBorder="1" applyAlignment="1">
      <alignment horizontal="right"/>
    </xf>
    <xf numFmtId="0" fontId="16" fillId="2" borderId="8" xfId="0" applyFont="1" applyFill="1" applyBorder="1"/>
    <xf numFmtId="167" fontId="4" fillId="0" borderId="0" xfId="3" applyNumberFormat="1" applyFont="1" applyBorder="1"/>
    <xf numFmtId="167" fontId="4" fillId="0" borderId="5" xfId="3" applyNumberFormat="1" applyFont="1" applyBorder="1"/>
    <xf numFmtId="0" fontId="14" fillId="0" borderId="13" xfId="0" applyFont="1" applyBorder="1"/>
    <xf numFmtId="168" fontId="14" fillId="0" borderId="13" xfId="0" applyNumberFormat="1" applyFont="1" applyBorder="1"/>
    <xf numFmtId="0" fontId="14" fillId="0" borderId="0" xfId="0" applyFont="1"/>
    <xf numFmtId="167" fontId="4" fillId="0" borderId="5" xfId="0" applyNumberFormat="1" applyFont="1" applyBorder="1"/>
    <xf numFmtId="167" fontId="14" fillId="0" borderId="13" xfId="0" applyNumberFormat="1" applyFont="1" applyBorder="1"/>
    <xf numFmtId="167" fontId="14" fillId="0" borderId="14" xfId="0" applyNumberFormat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horizontal="left" vertical="top" wrapText="1" indent="2"/>
    </xf>
    <xf numFmtId="167" fontId="14" fillId="0" borderId="0" xfId="3" applyNumberFormat="1" applyFont="1" applyBorder="1"/>
    <xf numFmtId="167" fontId="14" fillId="0" borderId="5" xfId="3" applyNumberFormat="1" applyFont="1" applyBorder="1"/>
    <xf numFmtId="167" fontId="14" fillId="0" borderId="0" xfId="3" applyNumberFormat="1" applyFont="1" applyFill="1" applyBorder="1"/>
    <xf numFmtId="1" fontId="7" fillId="0" borderId="0" xfId="0" applyNumberFormat="1" applyFont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3" fillId="0" borderId="4" xfId="0" applyFont="1" applyBorder="1"/>
    <xf numFmtId="0" fontId="4" fillId="0" borderId="6" xfId="0" applyFont="1" applyBorder="1"/>
    <xf numFmtId="0" fontId="4" fillId="0" borderId="5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7" fontId="4" fillId="0" borderId="0" xfId="3" applyNumberFormat="1" applyFont="1" applyFill="1" applyBorder="1"/>
    <xf numFmtId="3" fontId="10" fillId="0" borderId="0" xfId="0" applyNumberFormat="1" applyFont="1"/>
    <xf numFmtId="0" fontId="7" fillId="0" borderId="0" xfId="0" applyFont="1"/>
    <xf numFmtId="3" fontId="9" fillId="0" borderId="2" xfId="0" applyNumberFormat="1" applyFont="1" applyBorder="1"/>
    <xf numFmtId="0" fontId="7" fillId="0" borderId="0" xfId="0" applyFont="1" applyAlignment="1">
      <alignment vertical="top" wrapText="1"/>
    </xf>
    <xf numFmtId="0" fontId="3" fillId="0" borderId="0" xfId="0" applyFont="1"/>
    <xf numFmtId="0" fontId="20" fillId="0" borderId="0" xfId="0" applyFont="1"/>
    <xf numFmtId="166" fontId="4" fillId="0" borderId="7" xfId="3" applyNumberFormat="1" applyFont="1" applyBorder="1"/>
    <xf numFmtId="0" fontId="3" fillId="0" borderId="0" xfId="0" applyFont="1" applyAlignment="1">
      <alignment vertical="top" wrapText="1"/>
    </xf>
    <xf numFmtId="0" fontId="2" fillId="0" borderId="4" xfId="0" applyFont="1" applyBorder="1"/>
    <xf numFmtId="0" fontId="19" fillId="0" borderId="1" xfId="0" applyFont="1" applyBorder="1"/>
    <xf numFmtId="0" fontId="7" fillId="3" borderId="6" xfId="0" applyFont="1" applyFill="1" applyBorder="1"/>
    <xf numFmtId="3" fontId="7" fillId="3" borderId="7" xfId="0" applyNumberFormat="1" applyFont="1" applyFill="1" applyBorder="1"/>
    <xf numFmtId="3" fontId="7" fillId="3" borderId="8" xfId="0" applyNumberFormat="1" applyFont="1" applyFill="1" applyBorder="1"/>
    <xf numFmtId="0" fontId="7" fillId="3" borderId="12" xfId="0" applyFont="1" applyFill="1" applyBorder="1" applyAlignment="1">
      <alignment vertical="top" wrapText="1"/>
    </xf>
    <xf numFmtId="3" fontId="7" fillId="3" borderId="13" xfId="0" applyNumberFormat="1" applyFont="1" applyFill="1" applyBorder="1"/>
    <xf numFmtId="3" fontId="7" fillId="3" borderId="14" xfId="0" applyNumberFormat="1" applyFont="1" applyFill="1" applyBorder="1"/>
    <xf numFmtId="3" fontId="8" fillId="6" borderId="0" xfId="0" applyNumberFormat="1" applyFont="1" applyFill="1"/>
    <xf numFmtId="0" fontId="1" fillId="0" borderId="4" xfId="0" applyFont="1" applyBorder="1"/>
    <xf numFmtId="165" fontId="4" fillId="0" borderId="5" xfId="2" applyNumberFormat="1" applyFont="1" applyBorder="1"/>
    <xf numFmtId="0" fontId="26" fillId="0" borderId="0" xfId="0" applyFont="1"/>
    <xf numFmtId="0" fontId="26" fillId="0" borderId="4" xfId="0" applyFont="1" applyBorder="1"/>
    <xf numFmtId="167" fontId="26" fillId="0" borderId="0" xfId="0" applyNumberFormat="1" applyFont="1"/>
    <xf numFmtId="167" fontId="26" fillId="0" borderId="5" xfId="0" applyNumberFormat="1" applyFont="1" applyBorder="1"/>
    <xf numFmtId="0" fontId="1" fillId="0" borderId="0" xfId="0" applyFont="1"/>
    <xf numFmtId="166" fontId="4" fillId="0" borderId="0" xfId="0" applyNumberFormat="1" applyFont="1"/>
    <xf numFmtId="3" fontId="1" fillId="0" borderId="0" xfId="0" applyNumberFormat="1" applyFont="1"/>
    <xf numFmtId="3" fontId="1" fillId="0" borderId="5" xfId="0" applyNumberFormat="1" applyFont="1" applyBorder="1"/>
    <xf numFmtId="0" fontId="17" fillId="0" borderId="4" xfId="0" applyFont="1" applyBorder="1"/>
    <xf numFmtId="0" fontId="17" fillId="0" borderId="0" xfId="0" applyFont="1"/>
    <xf numFmtId="9" fontId="17" fillId="0" borderId="5" xfId="2" applyFont="1" applyBorder="1"/>
    <xf numFmtId="9" fontId="17" fillId="0" borderId="0" xfId="0" applyNumberFormat="1" applyFont="1"/>
    <xf numFmtId="3" fontId="17" fillId="0" borderId="5" xfId="3" applyNumberFormat="1" applyFont="1" applyBorder="1"/>
    <xf numFmtId="0" fontId="16" fillId="3" borderId="12" xfId="0" applyFont="1" applyFill="1" applyBorder="1" applyAlignment="1">
      <alignment vertical="center"/>
    </xf>
    <xf numFmtId="0" fontId="23" fillId="3" borderId="13" xfId="0" applyFont="1" applyFill="1" applyBorder="1" applyAlignment="1">
      <alignment vertical="center"/>
    </xf>
    <xf numFmtId="164" fontId="16" fillId="3" borderId="13" xfId="1" applyNumberFormat="1" applyFont="1" applyFill="1" applyBorder="1" applyAlignment="1">
      <alignment vertical="center"/>
    </xf>
    <xf numFmtId="164" fontId="16" fillId="3" borderId="14" xfId="1" applyNumberFormat="1" applyFont="1" applyFill="1" applyBorder="1" applyAlignment="1">
      <alignment vertical="center"/>
    </xf>
    <xf numFmtId="0" fontId="14" fillId="3" borderId="1" xfId="0" applyFont="1" applyFill="1" applyBorder="1"/>
    <xf numFmtId="0" fontId="14" fillId="3" borderId="2" xfId="0" applyFont="1" applyFill="1" applyBorder="1"/>
    <xf numFmtId="3" fontId="14" fillId="3" borderId="2" xfId="0" applyNumberFormat="1" applyFont="1" applyFill="1" applyBorder="1"/>
    <xf numFmtId="3" fontId="14" fillId="3" borderId="3" xfId="0" applyNumberFormat="1" applyFont="1" applyFill="1" applyBorder="1"/>
    <xf numFmtId="0" fontId="4" fillId="0" borderId="19" xfId="0" applyFont="1" applyBorder="1"/>
    <xf numFmtId="0" fontId="4" fillId="0" borderId="17" xfId="0" applyFont="1" applyBorder="1"/>
    <xf numFmtId="43" fontId="4" fillId="0" borderId="17" xfId="1" applyFont="1" applyBorder="1"/>
    <xf numFmtId="164" fontId="4" fillId="0" borderId="18" xfId="1" applyNumberFormat="1" applyFont="1" applyBorder="1"/>
    <xf numFmtId="167" fontId="14" fillId="0" borderId="5" xfId="3" applyNumberFormat="1" applyFont="1" applyFill="1" applyBorder="1"/>
    <xf numFmtId="167" fontId="4" fillId="0" borderId="5" xfId="3" applyNumberFormat="1" applyFont="1" applyFill="1" applyBorder="1"/>
    <xf numFmtId="168" fontId="14" fillId="0" borderId="14" xfId="0" applyNumberFormat="1" applyFont="1" applyBorder="1"/>
    <xf numFmtId="167" fontId="4" fillId="0" borderId="0" xfId="0" applyNumberFormat="1" applyFont="1"/>
    <xf numFmtId="0" fontId="1" fillId="0" borderId="1" xfId="0" applyFont="1" applyBorder="1"/>
    <xf numFmtId="0" fontId="4" fillId="0" borderId="8" xfId="0" applyFont="1" applyBorder="1"/>
    <xf numFmtId="165" fontId="4" fillId="0" borderId="7" xfId="2" applyNumberFormat="1" applyFont="1" applyBorder="1"/>
    <xf numFmtId="3" fontId="4" fillId="0" borderId="7" xfId="1" applyNumberFormat="1" applyFont="1" applyBorder="1"/>
    <xf numFmtId="3" fontId="4" fillId="0" borderId="8" xfId="0" applyNumberFormat="1" applyFont="1" applyBorder="1"/>
    <xf numFmtId="0" fontId="14" fillId="0" borderId="6" xfId="0" applyFont="1" applyBorder="1"/>
    <xf numFmtId="0" fontId="14" fillId="0" borderId="7" xfId="0" applyFont="1" applyBorder="1"/>
    <xf numFmtId="3" fontId="14" fillId="0" borderId="7" xfId="0" applyNumberFormat="1" applyFont="1" applyBorder="1"/>
    <xf numFmtId="3" fontId="14" fillId="0" borderId="8" xfId="0" applyNumberFormat="1" applyFont="1" applyBorder="1"/>
    <xf numFmtId="0" fontId="4" fillId="0" borderId="20" xfId="0" applyFont="1" applyBorder="1"/>
    <xf numFmtId="0" fontId="4" fillId="0" borderId="21" xfId="0" applyFont="1" applyBorder="1"/>
    <xf numFmtId="164" fontId="4" fillId="0" borderId="21" xfId="1" applyNumberFormat="1" applyFont="1" applyBorder="1"/>
    <xf numFmtId="164" fontId="4" fillId="0" borderId="22" xfId="1" applyNumberFormat="1" applyFont="1" applyBorder="1"/>
    <xf numFmtId="0" fontId="1" fillId="0" borderId="7" xfId="0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169" fontId="4" fillId="0" borderId="0" xfId="0" applyNumberFormat="1" applyFont="1"/>
    <xf numFmtId="0" fontId="21" fillId="5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</cellXfs>
  <cellStyles count="8">
    <cellStyle name="Migliaia" xfId="1" builtinId="3"/>
    <cellStyle name="Migliaia 2" xfId="5" xr:uid="{00000000-0005-0000-0000-000001000000}"/>
    <cellStyle name="Normal 2" xfId="6" xr:uid="{00000000-0005-0000-0000-000002000000}"/>
    <cellStyle name="Normale" xfId="0" builtinId="0"/>
    <cellStyle name="Normale 2" xfId="4" xr:uid="{00000000-0005-0000-0000-000004000000}"/>
    <cellStyle name="Percentuale" xfId="2" builtinId="5"/>
    <cellStyle name="Percentuale 2" xfId="7" xr:uid="{00000000-0005-0000-0000-000006000000}"/>
    <cellStyle name="Valuta" xfId="3" builtinId="4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Economico'!$A$47</c:f>
              <c:strCache>
                <c:ptCount val="1"/>
                <c:pt idx="0">
                  <c:v>EBITDA ( = Ricavi - Costi)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Economico'!$D$47,'Conto Economico'!$E$47,'Conto Economico'!$F$47,'Conto Economico'!$G$47,'Conto Economico'!$H$47)</c:f>
              <c:numCache>
                <c:formatCode>_-* #,##0_-;\-* #,##0_-;_-* "-"??_-;_-@_-</c:formatCode>
                <c:ptCount val="5"/>
                <c:pt idx="0">
                  <c:v>-150000</c:v>
                </c:pt>
                <c:pt idx="1">
                  <c:v>-40000</c:v>
                </c:pt>
                <c:pt idx="2">
                  <c:v>719500</c:v>
                </c:pt>
                <c:pt idx="3">
                  <c:v>1407500</c:v>
                </c:pt>
                <c:pt idx="4">
                  <c:v>2143000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9-4874-801A-2FCDBFEA8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390438512"/>
        <c:axId val="390438904"/>
      </c:barChart>
      <c:catAx>
        <c:axId val="3904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390438904"/>
        <c:crosses val="autoZero"/>
        <c:auto val="1"/>
        <c:lblAlgn val="ctr"/>
        <c:lblOffset val="100"/>
        <c:noMultiLvlLbl val="0"/>
      </c:catAx>
      <c:valAx>
        <c:axId val="390438904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39043851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Economico'!$A$28</c:f>
              <c:strCache>
                <c:ptCount val="1"/>
                <c:pt idx="0">
                  <c:v>TOTALE RICAVI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Economico'!$D$28,'Conto Economico'!$E$28,'Conto Economico'!$F$28,'Conto Economico'!$G$28,'Conto Economico'!$H$28)</c:f>
              <c:numCache>
                <c:formatCode>_-* #,##0_-;\-* #,##0_-;_-* "-"??_-;_-@_-</c:formatCode>
                <c:ptCount val="5"/>
                <c:pt idx="0">
                  <c:v>41200</c:v>
                </c:pt>
                <c:pt idx="1">
                  <c:v>165500</c:v>
                </c:pt>
                <c:pt idx="2">
                  <c:v>1022000</c:v>
                </c:pt>
                <c:pt idx="3">
                  <c:v>1795500</c:v>
                </c:pt>
                <c:pt idx="4">
                  <c:v>2570000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B-42F5-9C82-18102ADB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390439688"/>
        <c:axId val="390440080"/>
      </c:barChart>
      <c:catAx>
        <c:axId val="39043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390440080"/>
        <c:crosses val="autoZero"/>
        <c:auto val="1"/>
        <c:lblAlgn val="ctr"/>
        <c:lblOffset val="100"/>
        <c:noMultiLvlLbl val="0"/>
      </c:catAx>
      <c:valAx>
        <c:axId val="39044008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3904396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'Conto Economico'!$A$12</c:f>
              <c:strCache>
                <c:ptCount val="1"/>
                <c:pt idx="0">
                  <c:v>TOTALE UTENTI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alpha val="96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Economico'!$D$12:$H$12</c:f>
              <c:numCache>
                <c:formatCode>#,##0</c:formatCode>
                <c:ptCount val="5"/>
                <c:pt idx="0">
                  <c:v>4011</c:v>
                </c:pt>
                <c:pt idx="1">
                  <c:v>15027</c:v>
                </c:pt>
                <c:pt idx="2">
                  <c:v>80052</c:v>
                </c:pt>
                <c:pt idx="3">
                  <c:v>140082</c:v>
                </c:pt>
                <c:pt idx="4">
                  <c:v>200112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0-4D24-B8AD-6DC85B5011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8986384"/>
        <c:axId val="418993048"/>
      </c:lineChart>
      <c:catAx>
        <c:axId val="4189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93048"/>
        <c:crosses val="autoZero"/>
        <c:auto val="1"/>
        <c:lblAlgn val="ctr"/>
        <c:lblOffset val="100"/>
        <c:noMultiLvlLbl val="0"/>
      </c:catAx>
      <c:valAx>
        <c:axId val="418993048"/>
        <c:scaling>
          <c:orientation val="minMax"/>
          <c:max val="200000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8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'Conto Economico'!$A$20</c:f>
              <c:strCache>
                <c:ptCount val="1"/>
                <c:pt idx="0">
                  <c:v>Affiliazioni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'Conto Economico'!$D$3:$H$3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Economico'!$D$21:$H$21</c:f>
              <c:numCache>
                <c:formatCode>_-* #,##0_-;\-* #,##0_-;_-* "-"??_-;_-@_-</c:formatCode>
                <c:ptCount val="5"/>
                <c:pt idx="0">
                  <c:v>4000</c:v>
                </c:pt>
                <c:pt idx="1">
                  <c:v>15000</c:v>
                </c:pt>
                <c:pt idx="2">
                  <c:v>80000</c:v>
                </c:pt>
                <c:pt idx="3">
                  <c:v>140000</c:v>
                </c:pt>
                <c:pt idx="4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8-47A4-AE0D-64A551836E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8991872"/>
        <c:axId val="418989912"/>
      </c:lineChart>
      <c:catAx>
        <c:axId val="4189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89912"/>
        <c:crosses val="autoZero"/>
        <c:auto val="1"/>
        <c:lblAlgn val="ctr"/>
        <c:lblOffset val="100"/>
        <c:noMultiLvlLbl val="0"/>
      </c:catAx>
      <c:valAx>
        <c:axId val="418989912"/>
        <c:scaling>
          <c:orientation val="minMax"/>
          <c:max val="50000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Economico'!$A$59</c:f>
              <c:strCache>
                <c:ptCount val="1"/>
                <c:pt idx="0">
                  <c:v>Investimenti ammortizzabili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'Conto Economico'!$D$58:$H$58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Economico'!$D$87:$H$87</c:f>
              <c:numCache>
                <c:formatCode>_-"€"* #,##0_-;\-"€"* #,##0_-;_-"€"* "-"??_-;_-@_-</c:formatCode>
                <c:ptCount val="5"/>
                <c:pt idx="0">
                  <c:v>55000</c:v>
                </c:pt>
                <c:pt idx="1">
                  <c:v>10000</c:v>
                </c:pt>
                <c:pt idx="2">
                  <c:v>12500</c:v>
                </c:pt>
                <c:pt idx="3">
                  <c:v>12500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0-4EB3-9DA4-F68613A47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8990696"/>
        <c:axId val="418992264"/>
      </c:barChart>
      <c:catAx>
        <c:axId val="41899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8992264"/>
        <c:crosses val="autoZero"/>
        <c:auto val="1"/>
        <c:lblAlgn val="ctr"/>
        <c:lblOffset val="100"/>
        <c:noMultiLvlLbl val="0"/>
      </c:catAx>
      <c:valAx>
        <c:axId val="418992264"/>
        <c:scaling>
          <c:orientation val="minMax"/>
        </c:scaling>
        <c:delete val="1"/>
        <c:axPos val="l"/>
        <c:numFmt formatCode="_-&quot;€&quot;* #,##0_-;\-&quot;€&quot;* #,##0_-;_-&quot;€&quot;* &quot;-&quot;??_-;_-@_-" sourceLinked="1"/>
        <c:majorTickMark val="out"/>
        <c:minorTickMark val="none"/>
        <c:tickLblPos val="nextTo"/>
        <c:crossAx val="4189906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Economico'!$A$37</c:f>
              <c:strCache>
                <c:ptCount val="1"/>
                <c:pt idx="0">
                  <c:v>COSTI FISSI OPERATIVI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Economico'!$D$45:$H$45</c:f>
              <c:numCache>
                <c:formatCode>_-* #,##0_-;\-* #,##0_-;_-* "-"??_-;_-@_-</c:formatCode>
                <c:ptCount val="5"/>
                <c:pt idx="0">
                  <c:v>188800</c:v>
                </c:pt>
                <c:pt idx="1">
                  <c:v>189000</c:v>
                </c:pt>
                <c:pt idx="2">
                  <c:v>254500</c:v>
                </c:pt>
                <c:pt idx="3">
                  <c:v>304000</c:v>
                </c:pt>
                <c:pt idx="4">
                  <c:v>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38C-B593-D25C2BBDF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9700752"/>
        <c:axId val="419701928"/>
      </c:barChart>
      <c:catAx>
        <c:axId val="4197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1928"/>
        <c:crosses val="autoZero"/>
        <c:auto val="1"/>
        <c:lblAlgn val="ctr"/>
        <c:lblOffset val="100"/>
        <c:noMultiLvlLbl val="0"/>
      </c:catAx>
      <c:valAx>
        <c:axId val="419701928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41970075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Economico'!$A$28</c:f>
              <c:strCache>
                <c:ptCount val="1"/>
                <c:pt idx="0">
                  <c:v>TOTALE RICAVI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'Conto Economico'!$D$3:$H$3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Economico'!$D$28,'Conto Economico'!$E$28,'Conto Economico'!$F$28,'Conto Economico'!$G$28,'Conto Economico'!$H$28)</c:f>
              <c:numCache>
                <c:formatCode>_-* #,##0_-;\-* #,##0_-;_-* "-"??_-;_-@_-</c:formatCode>
                <c:ptCount val="5"/>
                <c:pt idx="0">
                  <c:v>41200</c:v>
                </c:pt>
                <c:pt idx="1">
                  <c:v>165500</c:v>
                </c:pt>
                <c:pt idx="2">
                  <c:v>1022000</c:v>
                </c:pt>
                <c:pt idx="3">
                  <c:v>1795500</c:v>
                </c:pt>
                <c:pt idx="4">
                  <c:v>2570000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96D-910B-0B96485B0FF4}"/>
            </c:ext>
          </c:extLst>
        </c:ser>
        <c:ser>
          <c:idx val="1"/>
          <c:order val="1"/>
          <c:tx>
            <c:strRef>
              <c:f>'Conto Economico'!$A$47</c:f>
              <c:strCache>
                <c:ptCount val="1"/>
                <c:pt idx="0">
                  <c:v>EBITDA ( = Ricavi - Costi)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Economico'!$D$3:$H$3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Economico'!$D$47:$H$47</c:f>
              <c:numCache>
                <c:formatCode>_-* #,##0_-;\-* #,##0_-;_-* "-"??_-;_-@_-</c:formatCode>
                <c:ptCount val="5"/>
                <c:pt idx="0">
                  <c:v>-150000</c:v>
                </c:pt>
                <c:pt idx="1">
                  <c:v>-40000</c:v>
                </c:pt>
                <c:pt idx="2">
                  <c:v>719500</c:v>
                </c:pt>
                <c:pt idx="3">
                  <c:v>1407500</c:v>
                </c:pt>
                <c:pt idx="4">
                  <c:v>2143000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4-496D-910B-0B96485B0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9702320"/>
        <c:axId val="419699968"/>
      </c:barChart>
      <c:catAx>
        <c:axId val="4197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699968"/>
        <c:crosses val="autoZero"/>
        <c:auto val="1"/>
        <c:lblAlgn val="ctr"/>
        <c:lblOffset val="100"/>
        <c:noMultiLvlLbl val="0"/>
      </c:catAx>
      <c:valAx>
        <c:axId val="41969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it-IT" b="1"/>
                  <a:t>M€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232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flow'!$A$25</c:f>
              <c:strCache>
                <c:ptCount val="1"/>
                <c:pt idx="0">
                  <c:v>Flusso di cassa operativo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'cash flow'!$B$3:$F$3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'cash flow'!$B$25:$F$25</c:f>
              <c:numCache>
                <c:formatCode>#,##0</c:formatCode>
                <c:ptCount val="5"/>
                <c:pt idx="0">
                  <c:v>-232500</c:v>
                </c:pt>
                <c:pt idx="1">
                  <c:v>-43400</c:v>
                </c:pt>
                <c:pt idx="2">
                  <c:v>727900</c:v>
                </c:pt>
                <c:pt idx="3">
                  <c:v>1395000</c:v>
                </c:pt>
                <c:pt idx="4">
                  <c:v>2118000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B-4545-9B17-6388C268F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700360"/>
        <c:axId val="419703104"/>
      </c:lineChart>
      <c:catAx>
        <c:axId val="41970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3104"/>
        <c:crosses val="autoZero"/>
        <c:auto val="1"/>
        <c:lblAlgn val="ctr"/>
        <c:lblOffset val="100"/>
        <c:noMultiLvlLbl val="0"/>
      </c:catAx>
      <c:valAx>
        <c:axId val="419703104"/>
        <c:scaling>
          <c:orientation val="minMax"/>
          <c:max val="2000000"/>
          <c:min val="-1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0360"/>
        <c:crosses val="autoZero"/>
        <c:crossBetween val="between"/>
        <c:majorUnit val="50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flow'!$A$23</c:f>
              <c:strCache>
                <c:ptCount val="1"/>
                <c:pt idx="0">
                  <c:v>C - TOTALE GESTIONE OPERATIVA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'cash flow'!$B$3:$F$3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'cash flow'!$B$23:$F$23</c:f>
              <c:numCache>
                <c:formatCode>#,##0</c:formatCode>
                <c:ptCount val="5"/>
                <c:pt idx="0">
                  <c:v>-165400</c:v>
                </c:pt>
                <c:pt idx="1">
                  <c:v>-31200</c:v>
                </c:pt>
                <c:pt idx="2">
                  <c:v>743150</c:v>
                </c:pt>
                <c:pt idx="3">
                  <c:v>1410250</c:v>
                </c:pt>
                <c:pt idx="4">
                  <c:v>2148500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B-4817-BCAB-1C0B1420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698008"/>
        <c:axId val="419703888"/>
      </c:lineChart>
      <c:catAx>
        <c:axId val="41969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3888"/>
        <c:crossesAt val="0"/>
        <c:auto val="1"/>
        <c:lblAlgn val="ctr"/>
        <c:lblOffset val="100"/>
        <c:noMultiLvlLbl val="0"/>
      </c:catAx>
      <c:valAx>
        <c:axId val="419703888"/>
        <c:scaling>
          <c:orientation val="minMax"/>
          <c:max val="2000000"/>
          <c:min val="-3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69800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58705161854698E-2"/>
          <c:y val="0.17171296296296301"/>
          <c:w val="0.91553018372703299"/>
          <c:h val="0.7208876494604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flow'!$A$11</c:f>
              <c:strCache>
                <c:ptCount val="1"/>
                <c:pt idx="0">
                  <c:v>Investimenti da terzi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flow'!$B$3:$C$3</c:f>
              <c:strCache>
                <c:ptCount val="2"/>
                <c:pt idx="0">
                  <c:v>Y1</c:v>
                </c:pt>
                <c:pt idx="1">
                  <c:v>Y2</c:v>
                </c:pt>
              </c:strCache>
            </c:strRef>
          </c:cat>
          <c:val>
            <c:numRef>
              <c:f>'cash flow'!$B$11:$C$11</c:f>
              <c:numCache>
                <c:formatCode>#,##0</c:formatCode>
                <c:ptCount val="2"/>
                <c:pt idx="0">
                  <c:v>205000</c:v>
                </c:pt>
                <c:pt idx="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7-47A1-97BF-274701348B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9702712"/>
        <c:axId val="419705064"/>
      </c:barChart>
      <c:catAx>
        <c:axId val="41970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5064"/>
        <c:crosses val="autoZero"/>
        <c:auto val="1"/>
        <c:lblAlgn val="ctr"/>
        <c:lblOffset val="100"/>
        <c:noMultiLvlLbl val="0"/>
      </c:catAx>
      <c:valAx>
        <c:axId val="419705064"/>
        <c:scaling>
          <c:orientation val="minMax"/>
          <c:max val="500000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419702712"/>
        <c:crosses val="autoZero"/>
        <c:crossBetween val="between"/>
        <c:majorUnit val="1000000"/>
        <c:dispUnits>
          <c:builtInUnit val="thousands"/>
        </c:dispUnits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</xdr:colOff>
      <xdr:row>44</xdr:row>
      <xdr:rowOff>0</xdr:rowOff>
    </xdr:from>
    <xdr:to>
      <xdr:col>16</xdr:col>
      <xdr:colOff>257174</xdr:colOff>
      <xdr:row>56</xdr:row>
      <xdr:rowOff>69056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7005</xdr:colOff>
      <xdr:row>26</xdr:row>
      <xdr:rowOff>23812</xdr:rowOff>
    </xdr:from>
    <xdr:to>
      <xdr:col>16</xdr:col>
      <xdr:colOff>245130</xdr:colOff>
      <xdr:row>37</xdr:row>
      <xdr:rowOff>59532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28013</xdr:colOff>
      <xdr:row>1</xdr:row>
      <xdr:rowOff>0</xdr:rowOff>
    </xdr:from>
    <xdr:to>
      <xdr:col>16</xdr:col>
      <xdr:colOff>296955</xdr:colOff>
      <xdr:row>25</xdr:row>
      <xdr:rowOff>54908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72988</xdr:colOff>
      <xdr:row>1</xdr:row>
      <xdr:rowOff>0</xdr:rowOff>
    </xdr:from>
    <xdr:to>
      <xdr:col>24</xdr:col>
      <xdr:colOff>444114</xdr:colOff>
      <xdr:row>25</xdr:row>
      <xdr:rowOff>97580</xdr:rowOff>
    </xdr:to>
    <xdr:graphicFrame macro="">
      <xdr:nvGraphicFramePr>
        <xdr:cNvPr id="11" name="Grafico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16</xdr:col>
      <xdr:colOff>238125</xdr:colOff>
      <xdr:row>66</xdr:row>
      <xdr:rowOff>45243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37</xdr:row>
      <xdr:rowOff>214311</xdr:rowOff>
    </xdr:from>
    <xdr:to>
      <xdr:col>16</xdr:col>
      <xdr:colOff>238125</xdr:colOff>
      <xdr:row>43</xdr:row>
      <xdr:rowOff>83343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24</xdr:col>
      <xdr:colOff>321469</xdr:colOff>
      <xdr:row>38</xdr:row>
      <xdr:rowOff>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28</xdr:row>
      <xdr:rowOff>14287</xdr:rowOff>
    </xdr:from>
    <xdr:to>
      <xdr:col>14</xdr:col>
      <xdr:colOff>328612</xdr:colOff>
      <xdr:row>41</xdr:row>
      <xdr:rowOff>128587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15</xdr:row>
      <xdr:rowOff>19050</xdr:rowOff>
    </xdr:from>
    <xdr:to>
      <xdr:col>14</xdr:col>
      <xdr:colOff>333375</xdr:colOff>
      <xdr:row>26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95251</xdr:colOff>
      <xdr:row>0</xdr:row>
      <xdr:rowOff>119064</xdr:rowOff>
    </xdr:from>
    <xdr:to>
      <xdr:col>14</xdr:col>
      <xdr:colOff>400051</xdr:colOff>
      <xdr:row>14</xdr:row>
      <xdr:rowOff>119064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12" sqref="A12"/>
    </sheetView>
  </sheetViews>
  <sheetFormatPr defaultColWidth="9.109375" defaultRowHeight="13.8" x14ac:dyDescent="0.25"/>
  <cols>
    <col min="1" max="1" width="77.77734375" style="40" bestFit="1" customWidth="1"/>
    <col min="2" max="16384" width="9.109375" style="40"/>
  </cols>
  <sheetData>
    <row r="1" spans="1:1" x14ac:dyDescent="0.25">
      <c r="A1" s="112" t="s">
        <v>53</v>
      </c>
    </row>
    <row r="2" spans="1:1" x14ac:dyDescent="0.25">
      <c r="A2" s="93" t="s">
        <v>54</v>
      </c>
    </row>
    <row r="3" spans="1:1" x14ac:dyDescent="0.25">
      <c r="A3" s="93" t="s">
        <v>55</v>
      </c>
    </row>
    <row r="4" spans="1:1" x14ac:dyDescent="0.25">
      <c r="A4" s="93" t="s">
        <v>56</v>
      </c>
    </row>
    <row r="5" spans="1:1" x14ac:dyDescent="0.25">
      <c r="A5" s="93" t="s">
        <v>57</v>
      </c>
    </row>
    <row r="6" spans="1:1" x14ac:dyDescent="0.25">
      <c r="A6" s="115" t="s">
        <v>58</v>
      </c>
    </row>
    <row r="7" spans="1:1" x14ac:dyDescent="0.25">
      <c r="A7" s="95"/>
    </row>
    <row r="8" spans="1:1" x14ac:dyDescent="0.25">
      <c r="A8" s="95"/>
    </row>
    <row r="9" spans="1:1" x14ac:dyDescent="0.25">
      <c r="A9" s="94"/>
    </row>
    <row r="10" spans="1:1" x14ac:dyDescent="0.25">
      <c r="A10" s="9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5"/>
  <sheetViews>
    <sheetView showGridLines="0" tabSelected="1" zoomScaleNormal="110" zoomScalePageLayoutView="85" workbookViewId="0">
      <selection activeCell="H43" sqref="H43"/>
    </sheetView>
  </sheetViews>
  <sheetFormatPr defaultColWidth="8.77734375" defaultRowHeight="13.8" x14ac:dyDescent="0.25"/>
  <cols>
    <col min="1" max="1" width="31.77734375" style="40" customWidth="1"/>
    <col min="2" max="2" width="11.44140625" style="40" bestFit="1" customWidth="1"/>
    <col min="3" max="3" width="9.109375" style="40" customWidth="1"/>
    <col min="4" max="4" width="12.44140625" style="40" bestFit="1" customWidth="1"/>
    <col min="5" max="5" width="13.6640625" style="40" bestFit="1" customWidth="1"/>
    <col min="6" max="7" width="14.33203125" style="40" bestFit="1" customWidth="1"/>
    <col min="8" max="8" width="15.33203125" style="40" bestFit="1" customWidth="1"/>
    <col min="9" max="9" width="6.33203125" style="40" customWidth="1"/>
    <col min="10" max="10" width="10.109375" style="40" bestFit="1" customWidth="1"/>
    <col min="11" max="16384" width="8.77734375" style="40"/>
  </cols>
  <sheetData>
    <row r="1" spans="1:10" s="113" customFormat="1" ht="40.200000000000003" customHeight="1" x14ac:dyDescent="0.35">
      <c r="A1" s="175" t="s">
        <v>52</v>
      </c>
      <c r="B1" s="175"/>
      <c r="C1" s="175"/>
      <c r="D1" s="175"/>
      <c r="E1" s="175"/>
      <c r="F1" s="175"/>
      <c r="G1" s="175"/>
      <c r="H1" s="175"/>
    </row>
    <row r="2" spans="1:10" x14ac:dyDescent="0.25">
      <c r="B2" s="47"/>
      <c r="C2" s="43"/>
      <c r="I2" s="43"/>
    </row>
    <row r="3" spans="1:10" ht="18" x14ac:dyDescent="0.35">
      <c r="A3" s="117" t="s">
        <v>59</v>
      </c>
      <c r="B3" s="48"/>
      <c r="C3" s="49"/>
      <c r="D3" s="105" t="s">
        <v>2</v>
      </c>
      <c r="E3" s="105" t="s">
        <v>3</v>
      </c>
      <c r="F3" s="105" t="s">
        <v>4</v>
      </c>
      <c r="G3" s="105" t="s">
        <v>5</v>
      </c>
      <c r="H3" s="106" t="s">
        <v>6</v>
      </c>
      <c r="I3" s="43"/>
    </row>
    <row r="4" spans="1:10" x14ac:dyDescent="0.25">
      <c r="A4" s="27" t="s">
        <v>82</v>
      </c>
      <c r="B4" s="48"/>
      <c r="C4" s="49"/>
      <c r="D4" s="105"/>
      <c r="E4" s="105"/>
      <c r="F4" s="105"/>
      <c r="G4" s="105"/>
      <c r="H4" s="106"/>
      <c r="I4" s="43"/>
    </row>
    <row r="5" spans="1:10" x14ac:dyDescent="0.25">
      <c r="A5" s="125" t="s">
        <v>82</v>
      </c>
      <c r="B5" s="131"/>
      <c r="C5" s="131"/>
      <c r="D5" s="43">
        <v>200000</v>
      </c>
      <c r="E5" s="43">
        <v>1500000</v>
      </c>
      <c r="F5" s="43">
        <v>4000000</v>
      </c>
      <c r="G5" s="43">
        <v>7000000</v>
      </c>
      <c r="H5" s="50">
        <v>10000000</v>
      </c>
    </row>
    <row r="6" spans="1:10" x14ac:dyDescent="0.25">
      <c r="A6" s="125" t="s">
        <v>101</v>
      </c>
      <c r="D6" s="40">
        <f>ROUND(D5/12,0)</f>
        <v>16667</v>
      </c>
      <c r="E6" s="40">
        <f t="shared" ref="E6:H6" si="0">ROUND(E5/12,0)</f>
        <v>125000</v>
      </c>
      <c r="F6" s="40">
        <f t="shared" si="0"/>
        <v>333333</v>
      </c>
      <c r="G6" s="40">
        <f t="shared" si="0"/>
        <v>583333</v>
      </c>
      <c r="H6" s="104">
        <f t="shared" si="0"/>
        <v>833333</v>
      </c>
    </row>
    <row r="7" spans="1:10" x14ac:dyDescent="0.25">
      <c r="A7" s="33" t="s">
        <v>38</v>
      </c>
      <c r="B7" s="45"/>
      <c r="C7" s="46"/>
      <c r="D7" s="45"/>
      <c r="E7" s="45"/>
      <c r="F7" s="45"/>
      <c r="G7" s="45"/>
      <c r="H7" s="126"/>
      <c r="I7" s="43"/>
    </row>
    <row r="8" spans="1:10" x14ac:dyDescent="0.25">
      <c r="A8" s="125" t="s">
        <v>100</v>
      </c>
      <c r="B8" s="45"/>
      <c r="C8" s="46"/>
      <c r="D8" s="43">
        <v>1</v>
      </c>
      <c r="E8" s="43">
        <v>7</v>
      </c>
      <c r="F8" s="43">
        <v>12</v>
      </c>
      <c r="G8" s="43">
        <v>12</v>
      </c>
      <c r="H8" s="50">
        <v>12</v>
      </c>
      <c r="I8" s="43"/>
    </row>
    <row r="9" spans="1:10" x14ac:dyDescent="0.25">
      <c r="A9" s="125" t="s">
        <v>80</v>
      </c>
      <c r="D9" s="40">
        <v>10</v>
      </c>
      <c r="E9" s="40">
        <v>20</v>
      </c>
      <c r="F9" s="40">
        <v>40</v>
      </c>
      <c r="G9" s="40">
        <v>70</v>
      </c>
      <c r="H9" s="104">
        <v>100</v>
      </c>
    </row>
    <row r="10" spans="1:10" x14ac:dyDescent="0.25">
      <c r="A10" s="125" t="s">
        <v>81</v>
      </c>
      <c r="B10" s="45"/>
      <c r="C10" s="46"/>
      <c r="D10" s="43">
        <v>4000</v>
      </c>
      <c r="E10" s="43">
        <v>15000</v>
      </c>
      <c r="F10" s="43">
        <v>80000</v>
      </c>
      <c r="G10" s="43">
        <v>140000</v>
      </c>
      <c r="H10" s="50">
        <v>200000</v>
      </c>
      <c r="I10" s="43"/>
    </row>
    <row r="11" spans="1:10" x14ac:dyDescent="0.25">
      <c r="A11" s="103"/>
      <c r="B11" s="158"/>
      <c r="C11" s="159"/>
      <c r="D11" s="64"/>
      <c r="E11" s="64"/>
      <c r="F11" s="64"/>
      <c r="G11" s="64"/>
      <c r="H11" s="160"/>
      <c r="I11" s="43"/>
    </row>
    <row r="12" spans="1:10" x14ac:dyDescent="0.25">
      <c r="A12" s="161" t="s">
        <v>39</v>
      </c>
      <c r="B12" s="162"/>
      <c r="C12" s="162"/>
      <c r="D12" s="163">
        <f>SUM(D8:D11)</f>
        <v>4011</v>
      </c>
      <c r="E12" s="163">
        <f>SUM(E8:E11)</f>
        <v>15027</v>
      </c>
      <c r="F12" s="163">
        <f>SUM(F8:F11)</f>
        <v>80052</v>
      </c>
      <c r="G12" s="163">
        <f>SUM(G8:G11)</f>
        <v>140082</v>
      </c>
      <c r="H12" s="164">
        <f>SUM(H8:H11)</f>
        <v>200112</v>
      </c>
      <c r="I12" s="47"/>
      <c r="J12" s="43"/>
    </row>
    <row r="13" spans="1:10" x14ac:dyDescent="0.25">
      <c r="A13" s="156" t="s">
        <v>102</v>
      </c>
      <c r="B13" s="51"/>
      <c r="C13" s="51"/>
      <c r="D13" s="51">
        <v>200</v>
      </c>
      <c r="E13" s="172">
        <v>1500</v>
      </c>
      <c r="F13" s="172">
        <v>4000</v>
      </c>
      <c r="G13" s="172">
        <v>7000</v>
      </c>
      <c r="H13" s="173">
        <v>10000</v>
      </c>
    </row>
    <row r="14" spans="1:10" x14ac:dyDescent="0.25">
      <c r="A14" s="125" t="s">
        <v>83</v>
      </c>
      <c r="B14" s="43"/>
      <c r="D14" s="40">
        <v>100</v>
      </c>
      <c r="E14" s="40">
        <v>250</v>
      </c>
      <c r="F14" s="40">
        <v>350</v>
      </c>
      <c r="G14" s="40">
        <v>450</v>
      </c>
      <c r="H14" s="104">
        <v>500</v>
      </c>
    </row>
    <row r="15" spans="1:10" x14ac:dyDescent="0.25">
      <c r="A15" s="44" t="s">
        <v>85</v>
      </c>
      <c r="B15" s="43"/>
      <c r="D15" s="40">
        <v>8</v>
      </c>
      <c r="E15" s="40">
        <v>8</v>
      </c>
      <c r="F15" s="40">
        <v>10</v>
      </c>
      <c r="G15" s="40">
        <v>10</v>
      </c>
      <c r="H15" s="104">
        <v>10</v>
      </c>
    </row>
    <row r="16" spans="1:10" x14ac:dyDescent="0.25">
      <c r="A16" s="103"/>
      <c r="B16" s="64"/>
      <c r="C16" s="63"/>
      <c r="D16" s="63"/>
      <c r="E16" s="63"/>
      <c r="F16" s="63"/>
      <c r="G16" s="63"/>
      <c r="H16" s="157"/>
    </row>
    <row r="17" spans="1:9" x14ac:dyDescent="0.25">
      <c r="A17" s="144" t="s">
        <v>103</v>
      </c>
      <c r="B17" s="145"/>
      <c r="C17" s="145"/>
      <c r="D17" s="146">
        <f>D13*D8</f>
        <v>200</v>
      </c>
      <c r="E17" s="146">
        <f t="shared" ref="E17:H17" si="1">E13*E8</f>
        <v>10500</v>
      </c>
      <c r="F17" s="146">
        <f t="shared" si="1"/>
        <v>48000</v>
      </c>
      <c r="G17" s="146">
        <f t="shared" si="1"/>
        <v>84000</v>
      </c>
      <c r="H17" s="146">
        <f t="shared" si="1"/>
        <v>120000</v>
      </c>
    </row>
    <row r="18" spans="1:9" x14ac:dyDescent="0.25">
      <c r="A18" s="144" t="s">
        <v>84</v>
      </c>
      <c r="B18" s="145"/>
      <c r="C18" s="145"/>
      <c r="D18" s="146">
        <f>D14*D9</f>
        <v>1000</v>
      </c>
      <c r="E18" s="146">
        <f t="shared" ref="E18:H18" si="2">E14*E9</f>
        <v>5000</v>
      </c>
      <c r="F18" s="146">
        <f t="shared" si="2"/>
        <v>14000</v>
      </c>
      <c r="G18" s="146">
        <f t="shared" si="2"/>
        <v>31500</v>
      </c>
      <c r="H18" s="146">
        <f t="shared" si="2"/>
        <v>50000</v>
      </c>
    </row>
    <row r="19" spans="1:9" x14ac:dyDescent="0.25">
      <c r="A19" s="144" t="s">
        <v>86</v>
      </c>
      <c r="B19" s="145"/>
      <c r="C19" s="145"/>
      <c r="D19" s="146">
        <f>$D10*D15</f>
        <v>32000</v>
      </c>
      <c r="E19" s="146">
        <f>$E10*E15</f>
        <v>120000</v>
      </c>
      <c r="F19" s="146">
        <f>$F10*F15</f>
        <v>800000</v>
      </c>
      <c r="G19" s="146">
        <f>$G10*G15</f>
        <v>1400000</v>
      </c>
      <c r="H19" s="147">
        <f>$H10*H15</f>
        <v>2000000</v>
      </c>
    </row>
    <row r="20" spans="1:9" x14ac:dyDescent="0.25">
      <c r="A20" s="33" t="s">
        <v>87</v>
      </c>
      <c r="D20" s="54"/>
      <c r="E20" s="54"/>
      <c r="F20" s="54"/>
      <c r="G20" s="54"/>
      <c r="H20" s="55"/>
    </row>
    <row r="21" spans="1:9" x14ac:dyDescent="0.25">
      <c r="A21" s="125" t="s">
        <v>88</v>
      </c>
      <c r="D21" s="54">
        <v>4000</v>
      </c>
      <c r="E21" s="54">
        <f>E5*0.01</f>
        <v>15000</v>
      </c>
      <c r="F21" s="54">
        <v>80000</v>
      </c>
      <c r="G21" s="54">
        <v>140000</v>
      </c>
      <c r="H21" s="55">
        <v>200000</v>
      </c>
    </row>
    <row r="22" spans="1:9" x14ac:dyDescent="0.25">
      <c r="A22" s="125" t="s">
        <v>89</v>
      </c>
      <c r="D22" s="54">
        <v>2</v>
      </c>
      <c r="E22" s="54">
        <v>2</v>
      </c>
      <c r="F22" s="54">
        <v>2</v>
      </c>
      <c r="G22" s="54">
        <v>2</v>
      </c>
      <c r="H22" s="55">
        <v>2</v>
      </c>
    </row>
    <row r="23" spans="1:9" x14ac:dyDescent="0.25">
      <c r="A23" s="44"/>
      <c r="D23" s="54"/>
      <c r="E23" s="54"/>
      <c r="F23" s="54"/>
      <c r="G23" s="54"/>
      <c r="H23" s="55"/>
    </row>
    <row r="24" spans="1:9" x14ac:dyDescent="0.25">
      <c r="A24" s="144" t="s">
        <v>90</v>
      </c>
      <c r="B24" s="145"/>
      <c r="C24" s="145"/>
      <c r="D24" s="146">
        <f>+D22*D21</f>
        <v>8000</v>
      </c>
      <c r="E24" s="146">
        <f>+E22*E21</f>
        <v>30000</v>
      </c>
      <c r="F24" s="146">
        <f>+F22*F21</f>
        <v>160000</v>
      </c>
      <c r="G24" s="146">
        <f>+G22*G21</f>
        <v>280000</v>
      </c>
      <c r="H24" s="147">
        <f>+H21*H22</f>
        <v>400000</v>
      </c>
    </row>
    <row r="25" spans="1:9" x14ac:dyDescent="0.25">
      <c r="A25" s="40" t="s">
        <v>12</v>
      </c>
      <c r="D25" s="54">
        <f>+D18+D19+D17</f>
        <v>33200</v>
      </c>
      <c r="E25" s="54">
        <f>+E18+E19+E17</f>
        <v>135500</v>
      </c>
      <c r="F25" s="54">
        <f>+F18+F19+F17</f>
        <v>862000</v>
      </c>
      <c r="G25" s="54">
        <f>+G18+G19+G17</f>
        <v>1515500</v>
      </c>
      <c r="H25" s="55">
        <f>+H18+H19+H17</f>
        <v>2170000</v>
      </c>
    </row>
    <row r="26" spans="1:9" x14ac:dyDescent="0.25">
      <c r="A26" s="131" t="s">
        <v>90</v>
      </c>
      <c r="D26" s="54">
        <f>+D24</f>
        <v>8000</v>
      </c>
      <c r="E26" s="54">
        <f>+E24</f>
        <v>30000</v>
      </c>
      <c r="F26" s="54">
        <f>+F24</f>
        <v>160000</v>
      </c>
      <c r="G26" s="54">
        <f>+G24</f>
        <v>280000</v>
      </c>
      <c r="H26" s="55">
        <f>+H24</f>
        <v>400000</v>
      </c>
    </row>
    <row r="27" spans="1:9" x14ac:dyDescent="0.25">
      <c r="A27" s="103"/>
      <c r="B27" s="63"/>
      <c r="C27" s="63"/>
      <c r="D27" s="65"/>
      <c r="E27" s="65"/>
      <c r="F27" s="65"/>
      <c r="G27" s="65"/>
      <c r="H27" s="66"/>
    </row>
    <row r="28" spans="1:9" ht="14.4" thickBot="1" x14ac:dyDescent="0.3">
      <c r="A28" s="56" t="s">
        <v>36</v>
      </c>
      <c r="B28" s="57"/>
      <c r="C28" s="57"/>
      <c r="D28" s="58">
        <f>SUM(D25:D27)</f>
        <v>41200</v>
      </c>
      <c r="E28" s="58">
        <f>SUM(E25:E27)</f>
        <v>165500</v>
      </c>
      <c r="F28" s="58">
        <f>SUM(F25:F27)</f>
        <v>1022000</v>
      </c>
      <c r="G28" s="58">
        <f>SUM(G25:G27)</f>
        <v>1795500</v>
      </c>
      <c r="H28" s="59">
        <f>SUM(H25:H27)</f>
        <v>2570000</v>
      </c>
      <c r="I28" s="60"/>
    </row>
    <row r="29" spans="1:9" ht="14.4" thickTop="1" x14ac:dyDescent="0.25">
      <c r="A29" s="148"/>
      <c r="B29" s="149"/>
      <c r="C29" s="149"/>
      <c r="D29" s="150"/>
      <c r="E29" s="150"/>
      <c r="F29" s="150"/>
      <c r="G29" s="150"/>
      <c r="H29" s="151"/>
      <c r="I29" s="60"/>
    </row>
    <row r="30" spans="1:9" ht="18" x14ac:dyDescent="0.35">
      <c r="A30" s="117" t="s">
        <v>74</v>
      </c>
      <c r="B30" s="48"/>
      <c r="C30" s="49"/>
      <c r="D30" s="105" t="s">
        <v>2</v>
      </c>
      <c r="E30" s="105" t="s">
        <v>3</v>
      </c>
      <c r="F30" s="105" t="s">
        <v>4</v>
      </c>
      <c r="G30" s="105" t="s">
        <v>5</v>
      </c>
      <c r="H30" s="106" t="s">
        <v>6</v>
      </c>
    </row>
    <row r="31" spans="1:9" ht="15.6" x14ac:dyDescent="0.3">
      <c r="A31" s="61" t="s">
        <v>79</v>
      </c>
      <c r="B31" s="51" t="s">
        <v>0</v>
      </c>
      <c r="C31" s="51"/>
      <c r="D31" s="52"/>
      <c r="E31" s="52"/>
      <c r="F31" s="52"/>
      <c r="G31" s="52"/>
      <c r="H31" s="53"/>
    </row>
    <row r="32" spans="1:9" x14ac:dyDescent="0.25">
      <c r="A32" s="125" t="s">
        <v>91</v>
      </c>
      <c r="B32" s="174">
        <v>0.01</v>
      </c>
      <c r="C32" s="43"/>
      <c r="D32" s="54">
        <f>D5*$B32</f>
        <v>2000</v>
      </c>
      <c r="E32" s="54">
        <f>E5*$B32</f>
        <v>15000</v>
      </c>
      <c r="F32" s="54">
        <f>F5*$B32</f>
        <v>40000</v>
      </c>
      <c r="G32" s="54">
        <f>G5*$B32</f>
        <v>70000</v>
      </c>
      <c r="H32" s="55">
        <f>H5*$B32</f>
        <v>100000</v>
      </c>
    </row>
    <row r="33" spans="1:9" x14ac:dyDescent="0.25">
      <c r="A33" s="125" t="s">
        <v>106</v>
      </c>
      <c r="B33" s="132">
        <v>0.1</v>
      </c>
      <c r="C33" s="43"/>
      <c r="D33" s="54">
        <f>D21*$B33</f>
        <v>400</v>
      </c>
      <c r="E33" s="54">
        <f>E21*$B33</f>
        <v>1500</v>
      </c>
      <c r="F33" s="54">
        <f>F21*$B33</f>
        <v>8000</v>
      </c>
      <c r="G33" s="54">
        <f>G21*$B33</f>
        <v>14000</v>
      </c>
      <c r="H33" s="55">
        <f>H21*$B33</f>
        <v>20000</v>
      </c>
    </row>
    <row r="34" spans="1:9" x14ac:dyDescent="0.25">
      <c r="A34" s="62"/>
      <c r="C34" s="64"/>
      <c r="D34" s="65"/>
      <c r="E34" s="65"/>
      <c r="F34" s="65"/>
      <c r="G34" s="65"/>
      <c r="H34" s="66"/>
    </row>
    <row r="35" spans="1:9" ht="14.4" thickBot="1" x14ac:dyDescent="0.3">
      <c r="A35" s="56" t="s">
        <v>49</v>
      </c>
      <c r="B35" s="57"/>
      <c r="C35" s="57"/>
      <c r="D35" s="58">
        <f>+D32+D33</f>
        <v>2400</v>
      </c>
      <c r="E35" s="58">
        <f>+E33+E32</f>
        <v>16500</v>
      </c>
      <c r="F35" s="58">
        <f>+F33+F32</f>
        <v>48000</v>
      </c>
      <c r="G35" s="58">
        <f>+G33+G32</f>
        <v>84000</v>
      </c>
      <c r="H35" s="59">
        <f>+H32+H33</f>
        <v>120000</v>
      </c>
      <c r="I35" s="60"/>
    </row>
    <row r="36" spans="1:9" ht="14.4" thickTop="1" x14ac:dyDescent="0.25">
      <c r="A36" s="165"/>
      <c r="B36" s="166"/>
      <c r="C36" s="166"/>
      <c r="D36" s="167"/>
      <c r="E36" s="167"/>
      <c r="F36" s="167"/>
      <c r="G36" s="167"/>
      <c r="H36" s="168"/>
    </row>
    <row r="37" spans="1:9" x14ac:dyDescent="0.25">
      <c r="A37" s="33" t="s">
        <v>77</v>
      </c>
      <c r="D37" s="54"/>
      <c r="E37" s="54"/>
      <c r="F37" s="54"/>
      <c r="G37" s="54"/>
      <c r="H37" s="55"/>
    </row>
    <row r="38" spans="1:9" x14ac:dyDescent="0.25">
      <c r="A38" s="44" t="s">
        <v>40</v>
      </c>
      <c r="B38" s="132"/>
      <c r="D38" s="133">
        <v>80000</v>
      </c>
      <c r="E38" s="133">
        <v>80000</v>
      </c>
      <c r="F38" s="133">
        <v>120000</v>
      </c>
      <c r="G38" s="133">
        <v>160000</v>
      </c>
      <c r="H38" s="134">
        <v>160000</v>
      </c>
    </row>
    <row r="39" spans="1:9" x14ac:dyDescent="0.25">
      <c r="A39" s="44" t="s">
        <v>42</v>
      </c>
      <c r="B39" s="132"/>
      <c r="D39" s="133">
        <v>15000</v>
      </c>
      <c r="E39" s="133">
        <v>15000</v>
      </c>
      <c r="F39" s="133">
        <v>40000</v>
      </c>
      <c r="G39" s="133">
        <v>40000</v>
      </c>
      <c r="H39" s="134">
        <v>40000</v>
      </c>
    </row>
    <row r="40" spans="1:9" x14ac:dyDescent="0.25">
      <c r="A40" s="44" t="s">
        <v>41</v>
      </c>
      <c r="B40" s="132"/>
      <c r="D40" s="133">
        <v>12000</v>
      </c>
      <c r="E40" s="133">
        <v>12000</v>
      </c>
      <c r="F40" s="133">
        <v>12000</v>
      </c>
      <c r="G40" s="133">
        <v>18000</v>
      </c>
      <c r="H40" s="134">
        <v>18000</v>
      </c>
    </row>
    <row r="41" spans="1:9" x14ac:dyDescent="0.25">
      <c r="A41" s="125" t="s">
        <v>92</v>
      </c>
      <c r="B41" s="132"/>
      <c r="D41" s="133">
        <v>1000</v>
      </c>
      <c r="E41" s="133">
        <v>1000</v>
      </c>
      <c r="F41" s="133">
        <v>1000</v>
      </c>
      <c r="G41" s="133">
        <v>1000</v>
      </c>
      <c r="H41" s="134">
        <v>1000</v>
      </c>
    </row>
    <row r="42" spans="1:9" x14ac:dyDescent="0.25">
      <c r="A42" s="44" t="s">
        <v>1</v>
      </c>
      <c r="D42" s="133">
        <v>50000</v>
      </c>
      <c r="E42" s="133">
        <v>50000</v>
      </c>
      <c r="F42" s="133">
        <v>50000</v>
      </c>
      <c r="G42" s="133">
        <v>50000</v>
      </c>
      <c r="H42" s="134">
        <v>50000</v>
      </c>
    </row>
    <row r="43" spans="1:9" x14ac:dyDescent="0.25">
      <c r="A43" s="44" t="s">
        <v>13</v>
      </c>
      <c r="B43" s="132"/>
      <c r="D43" s="133">
        <v>30000</v>
      </c>
      <c r="E43" s="133">
        <v>30000</v>
      </c>
      <c r="F43" s="133">
        <v>30000</v>
      </c>
      <c r="G43" s="133">
        <v>30000</v>
      </c>
      <c r="H43" s="134">
        <v>30000</v>
      </c>
    </row>
    <row r="44" spans="1:9" x14ac:dyDescent="0.25">
      <c r="A44" s="103" t="s">
        <v>14</v>
      </c>
      <c r="B44" s="114"/>
      <c r="C44" s="63"/>
      <c r="D44" s="169">
        <v>800</v>
      </c>
      <c r="E44" s="170">
        <v>1000</v>
      </c>
      <c r="F44" s="170">
        <v>1500</v>
      </c>
      <c r="G44" s="170">
        <v>5000</v>
      </c>
      <c r="H44" s="171">
        <v>8000</v>
      </c>
    </row>
    <row r="45" spans="1:9" ht="14.4" thickBot="1" x14ac:dyDescent="0.3">
      <c r="A45" s="56" t="s">
        <v>78</v>
      </c>
      <c r="B45" s="57"/>
      <c r="C45" s="57"/>
      <c r="D45" s="58">
        <f>SUM(D38:D44)</f>
        <v>188800</v>
      </c>
      <c r="E45" s="58">
        <f t="shared" ref="E45:H45" si="3">SUM(E38:E44)</f>
        <v>189000</v>
      </c>
      <c r="F45" s="58">
        <f t="shared" si="3"/>
        <v>254500</v>
      </c>
      <c r="G45" s="58">
        <f t="shared" si="3"/>
        <v>304000</v>
      </c>
      <c r="H45" s="59">
        <f t="shared" si="3"/>
        <v>307000</v>
      </c>
      <c r="I45" s="60"/>
    </row>
    <row r="46" spans="1:9" ht="14.4" thickTop="1" x14ac:dyDescent="0.25">
      <c r="A46" s="44"/>
      <c r="H46" s="104"/>
    </row>
    <row r="47" spans="1:9" ht="14.4" thickBot="1" x14ac:dyDescent="0.3">
      <c r="A47" s="56" t="s">
        <v>75</v>
      </c>
      <c r="B47" s="57"/>
      <c r="C47" s="57"/>
      <c r="D47" s="58">
        <f>D28-D35-D45</f>
        <v>-150000</v>
      </c>
      <c r="E47" s="58">
        <f>E28-E35-E45</f>
        <v>-40000</v>
      </c>
      <c r="F47" s="58">
        <f>F28-F35-F45</f>
        <v>719500</v>
      </c>
      <c r="G47" s="58">
        <f>G28-G35-G45</f>
        <v>1407500</v>
      </c>
      <c r="H47" s="59">
        <f>H28-H35-H45</f>
        <v>2143000</v>
      </c>
      <c r="I47" s="60"/>
    </row>
    <row r="48" spans="1:9" ht="15" thickTop="1" thickBot="1" x14ac:dyDescent="0.3">
      <c r="A48" s="67"/>
      <c r="B48" s="68"/>
      <c r="C48" s="68"/>
      <c r="D48" s="69"/>
      <c r="E48" s="69"/>
      <c r="F48" s="69"/>
      <c r="G48" s="69"/>
      <c r="H48" s="70"/>
    </row>
    <row r="49" spans="1:8" ht="14.4" thickTop="1" x14ac:dyDescent="0.25">
      <c r="A49" s="44"/>
      <c r="H49" s="104"/>
    </row>
    <row r="50" spans="1:8" x14ac:dyDescent="0.25">
      <c r="A50" s="41" t="s">
        <v>43</v>
      </c>
      <c r="B50" s="51"/>
      <c r="C50" s="51"/>
      <c r="D50" s="71">
        <f>+D95</f>
        <v>11000</v>
      </c>
      <c r="E50" s="71">
        <f>+E95</f>
        <v>13000</v>
      </c>
      <c r="F50" s="71">
        <f>+F95</f>
        <v>15500</v>
      </c>
      <c r="G50" s="71">
        <f>+G95</f>
        <v>18000</v>
      </c>
      <c r="H50" s="72">
        <f>+H95</f>
        <v>23000</v>
      </c>
    </row>
    <row r="51" spans="1:8" ht="14.4" thickBot="1" x14ac:dyDescent="0.3">
      <c r="A51" s="56" t="s">
        <v>76</v>
      </c>
      <c r="B51" s="57"/>
      <c r="C51" s="57"/>
      <c r="D51" s="58">
        <f>+D47-D50</f>
        <v>-161000</v>
      </c>
      <c r="E51" s="58">
        <f>+E47-E50</f>
        <v>-53000</v>
      </c>
      <c r="F51" s="58">
        <f>+F47-F50</f>
        <v>704000</v>
      </c>
      <c r="G51" s="58">
        <f>+G47-G50</f>
        <v>1389500</v>
      </c>
      <c r="H51" s="59">
        <f>+H47-H50</f>
        <v>2120000</v>
      </c>
    </row>
    <row r="52" spans="1:8" ht="14.4" thickTop="1" x14ac:dyDescent="0.25">
      <c r="A52" s="73" t="s">
        <v>10</v>
      </c>
      <c r="B52" s="74"/>
      <c r="C52" s="74"/>
      <c r="D52" s="75">
        <f>D51/D28</f>
        <v>-3.907766990291262</v>
      </c>
      <c r="E52" s="75">
        <f>E51/E28</f>
        <v>-0.3202416918429003</v>
      </c>
      <c r="F52" s="75">
        <f>F51/F28</f>
        <v>0.68884540117416826</v>
      </c>
      <c r="G52" s="75">
        <f>G51/G28</f>
        <v>0.77387914230019494</v>
      </c>
      <c r="H52" s="76">
        <f>H51/H28</f>
        <v>0.82490272373540852</v>
      </c>
    </row>
    <row r="53" spans="1:8" x14ac:dyDescent="0.25">
      <c r="A53" s="135"/>
      <c r="B53" s="136"/>
      <c r="C53" s="136"/>
      <c r="D53" s="77"/>
      <c r="E53" s="77"/>
      <c r="F53" s="77"/>
      <c r="G53" s="77"/>
      <c r="H53" s="137"/>
    </row>
    <row r="54" spans="1:8" x14ac:dyDescent="0.25">
      <c r="A54" s="135" t="s">
        <v>60</v>
      </c>
      <c r="B54" s="138">
        <v>0.32</v>
      </c>
      <c r="C54" s="136"/>
      <c r="D54" s="78">
        <f>-IF(D51&lt;0,0,D51*B54)</f>
        <v>0</v>
      </c>
      <c r="E54" s="78">
        <f>-IF(E51&lt;0,0,E51*$B54)</f>
        <v>0</v>
      </c>
      <c r="F54" s="78">
        <f>-IF(F51&lt;0,0,F51*$B54)</f>
        <v>-225280</v>
      </c>
      <c r="G54" s="78">
        <f>-IF(G51&lt;0,0,G51*$B54)</f>
        <v>-444640</v>
      </c>
      <c r="H54" s="139">
        <f>-IF(H51&lt;0,0,H51*$B54)</f>
        <v>-678400</v>
      </c>
    </row>
    <row r="55" spans="1:8" x14ac:dyDescent="0.25">
      <c r="A55" s="135"/>
      <c r="B55" s="136"/>
      <c r="C55" s="136"/>
      <c r="D55" s="77"/>
      <c r="E55" s="77"/>
      <c r="F55" s="77"/>
      <c r="G55" s="77"/>
      <c r="H55" s="137"/>
    </row>
    <row r="56" spans="1:8" ht="18" customHeight="1" x14ac:dyDescent="0.25">
      <c r="A56" s="140" t="s">
        <v>44</v>
      </c>
      <c r="B56" s="141"/>
      <c r="C56" s="141"/>
      <c r="D56" s="142">
        <f>+D51+D54</f>
        <v>-161000</v>
      </c>
      <c r="E56" s="142">
        <f>+E51+E54</f>
        <v>-53000</v>
      </c>
      <c r="F56" s="142">
        <f t="shared" ref="F56:H56" si="4">+F51+F54</f>
        <v>478720</v>
      </c>
      <c r="G56" s="142">
        <f t="shared" si="4"/>
        <v>944860</v>
      </c>
      <c r="H56" s="143">
        <f t="shared" si="4"/>
        <v>1441600</v>
      </c>
    </row>
    <row r="58" spans="1:8" ht="15.6" x14ac:dyDescent="0.3">
      <c r="A58" s="79"/>
      <c r="B58" s="80"/>
      <c r="C58" s="80"/>
      <c r="D58" s="100" t="s">
        <v>2</v>
      </c>
      <c r="E58" s="100" t="s">
        <v>3</v>
      </c>
      <c r="F58" s="100" t="s">
        <v>4</v>
      </c>
      <c r="G58" s="100" t="s">
        <v>5</v>
      </c>
      <c r="H58" s="101" t="s">
        <v>6</v>
      </c>
    </row>
    <row r="59" spans="1:8" ht="15.6" x14ac:dyDescent="0.3">
      <c r="A59" s="81" t="s">
        <v>35</v>
      </c>
      <c r="B59" s="82"/>
      <c r="C59" s="83"/>
      <c r="D59" s="82"/>
      <c r="E59" s="82"/>
      <c r="F59" s="82"/>
      <c r="G59" s="82"/>
      <c r="H59" s="84"/>
    </row>
    <row r="60" spans="1:8" x14ac:dyDescent="0.25">
      <c r="A60" s="33" t="s">
        <v>45</v>
      </c>
      <c r="B60" s="85"/>
      <c r="E60" s="85"/>
      <c r="F60" s="85"/>
      <c r="G60" s="85"/>
      <c r="H60" s="86"/>
    </row>
    <row r="61" spans="1:8" x14ac:dyDescent="0.25">
      <c r="A61" s="125" t="s">
        <v>105</v>
      </c>
      <c r="B61" s="85"/>
      <c r="D61" s="107">
        <v>50000</v>
      </c>
      <c r="E61" s="85"/>
      <c r="F61" s="85"/>
      <c r="G61" s="85"/>
      <c r="H61" s="86"/>
    </row>
    <row r="62" spans="1:8" x14ac:dyDescent="0.25">
      <c r="A62" s="102" t="s">
        <v>51</v>
      </c>
      <c r="B62" s="85"/>
      <c r="D62" s="107">
        <v>5000</v>
      </c>
      <c r="E62" s="85"/>
      <c r="F62" s="85"/>
      <c r="G62" s="85"/>
      <c r="H62" s="86"/>
    </row>
    <row r="63" spans="1:8" s="89" customFormat="1" x14ac:dyDescent="0.25">
      <c r="A63" s="33" t="s">
        <v>46</v>
      </c>
      <c r="B63" s="96"/>
      <c r="D63" s="98">
        <f>SUM(D61:D62)</f>
        <v>55000</v>
      </c>
      <c r="E63" s="98">
        <f>SUM(E61:E62)</f>
        <v>0</v>
      </c>
      <c r="F63" s="98">
        <f>SUM(F61:F62)</f>
        <v>0</v>
      </c>
      <c r="G63" s="98">
        <f>SUM(G61:G62)</f>
        <v>0</v>
      </c>
      <c r="H63" s="152">
        <f>SUM(H61:H62)</f>
        <v>0</v>
      </c>
    </row>
    <row r="64" spans="1:8" s="89" customFormat="1" x14ac:dyDescent="0.25">
      <c r="A64" s="33"/>
      <c r="B64" s="96"/>
      <c r="D64" s="98"/>
      <c r="E64" s="96"/>
      <c r="F64" s="96"/>
      <c r="G64" s="96"/>
      <c r="H64" s="97"/>
    </row>
    <row r="65" spans="1:10" x14ac:dyDescent="0.25">
      <c r="A65" s="33" t="s">
        <v>47</v>
      </c>
      <c r="B65" s="85"/>
      <c r="E65" s="107"/>
      <c r="F65" s="85"/>
      <c r="G65" s="85"/>
      <c r="H65" s="86"/>
    </row>
    <row r="66" spans="1:10" x14ac:dyDescent="0.25">
      <c r="A66" s="128" t="s">
        <v>104</v>
      </c>
      <c r="B66" s="85"/>
      <c r="E66" s="107">
        <v>10000</v>
      </c>
      <c r="F66" s="85"/>
      <c r="G66" s="85"/>
      <c r="H66" s="86"/>
    </row>
    <row r="67" spans="1:10" x14ac:dyDescent="0.25">
      <c r="A67" s="44"/>
      <c r="B67" s="85"/>
      <c r="E67" s="107"/>
      <c r="F67" s="85"/>
      <c r="G67" s="85"/>
      <c r="H67" s="86"/>
    </row>
    <row r="68" spans="1:10" x14ac:dyDescent="0.25">
      <c r="A68" s="33" t="s">
        <v>48</v>
      </c>
      <c r="B68" s="85"/>
      <c r="D68" s="98">
        <f>SUM(D66:D67)</f>
        <v>0</v>
      </c>
      <c r="E68" s="98">
        <f>SUM(E66:E67)</f>
        <v>10000</v>
      </c>
      <c r="F68" s="98">
        <f>SUM(F66:F67)</f>
        <v>0</v>
      </c>
      <c r="G68" s="98">
        <f>SUM(G66:G67)</f>
        <v>0</v>
      </c>
      <c r="H68" s="152">
        <f>SUM(H66:H67)</f>
        <v>0</v>
      </c>
    </row>
    <row r="69" spans="1:10" x14ac:dyDescent="0.25">
      <c r="A69" s="33"/>
      <c r="B69" s="85"/>
      <c r="D69" s="98"/>
      <c r="E69" s="98"/>
      <c r="F69" s="85"/>
      <c r="G69" s="85"/>
      <c r="H69" s="86"/>
    </row>
    <row r="70" spans="1:10" x14ac:dyDescent="0.25">
      <c r="A70" s="33" t="s">
        <v>95</v>
      </c>
      <c r="B70" s="85"/>
      <c r="E70" s="107"/>
      <c r="F70" s="85"/>
      <c r="G70" s="85"/>
      <c r="H70" s="86"/>
    </row>
    <row r="71" spans="1:10" x14ac:dyDescent="0.25">
      <c r="A71" s="128" t="s">
        <v>104</v>
      </c>
      <c r="B71" s="85"/>
      <c r="F71" s="107">
        <v>10000</v>
      </c>
      <c r="G71" s="85"/>
      <c r="H71" s="86"/>
    </row>
    <row r="72" spans="1:10" x14ac:dyDescent="0.25">
      <c r="A72" s="128" t="s">
        <v>51</v>
      </c>
      <c r="B72" s="127"/>
      <c r="C72" s="127"/>
      <c r="E72" s="129"/>
      <c r="F72" s="129">
        <v>2500</v>
      </c>
      <c r="G72" s="129"/>
      <c r="H72" s="130"/>
      <c r="I72" s="127"/>
      <c r="J72" s="127"/>
    </row>
    <row r="73" spans="1:10" x14ac:dyDescent="0.25">
      <c r="A73" s="44"/>
      <c r="B73" s="85"/>
      <c r="F73" s="107"/>
      <c r="G73" s="85"/>
      <c r="H73" s="86"/>
    </row>
    <row r="74" spans="1:10" x14ac:dyDescent="0.25">
      <c r="A74" s="33" t="s">
        <v>94</v>
      </c>
      <c r="B74" s="85"/>
      <c r="D74" s="98">
        <f>SUM(D71:D73)</f>
        <v>0</v>
      </c>
      <c r="E74" s="98">
        <f>SUM(E71:E73)</f>
        <v>0</v>
      </c>
      <c r="F74" s="98">
        <f>SUM(F71:F73)</f>
        <v>12500</v>
      </c>
      <c r="G74" s="98">
        <f t="shared" ref="G74:H74" si="5">SUM(G71:G73)</f>
        <v>0</v>
      </c>
      <c r="H74" s="152">
        <f t="shared" si="5"/>
        <v>0</v>
      </c>
    </row>
    <row r="75" spans="1:10" x14ac:dyDescent="0.25">
      <c r="A75" s="44"/>
      <c r="H75" s="104"/>
    </row>
    <row r="76" spans="1:10" x14ac:dyDescent="0.25">
      <c r="A76" s="33" t="s">
        <v>96</v>
      </c>
      <c r="B76" s="85"/>
      <c r="E76" s="107"/>
      <c r="F76" s="85"/>
      <c r="G76" s="85"/>
      <c r="H76" s="86"/>
    </row>
    <row r="77" spans="1:10" x14ac:dyDescent="0.25">
      <c r="A77" s="125" t="s">
        <v>104</v>
      </c>
      <c r="B77" s="85"/>
      <c r="F77" s="85"/>
      <c r="G77" s="107">
        <v>10000</v>
      </c>
      <c r="H77" s="86"/>
    </row>
    <row r="78" spans="1:10" x14ac:dyDescent="0.25">
      <c r="A78" s="128" t="s">
        <v>51</v>
      </c>
      <c r="B78" s="127"/>
      <c r="C78" s="127"/>
      <c r="E78" s="129"/>
      <c r="F78" s="129"/>
      <c r="G78" s="129">
        <v>2500</v>
      </c>
      <c r="H78" s="130"/>
      <c r="I78" s="127"/>
      <c r="J78" s="127"/>
    </row>
    <row r="79" spans="1:10" x14ac:dyDescent="0.25">
      <c r="A79" s="44"/>
      <c r="B79" s="85"/>
      <c r="F79" s="85"/>
      <c r="G79" s="107"/>
      <c r="H79" s="86"/>
    </row>
    <row r="80" spans="1:10" x14ac:dyDescent="0.25">
      <c r="A80" s="33" t="s">
        <v>97</v>
      </c>
      <c r="B80" s="85"/>
      <c r="D80" s="98">
        <f>SUM(D77:D79)</f>
        <v>0</v>
      </c>
      <c r="E80" s="98">
        <f t="shared" ref="E80:F80" si="6">SUM(E77:E79)</f>
        <v>0</v>
      </c>
      <c r="F80" s="98">
        <f t="shared" si="6"/>
        <v>0</v>
      </c>
      <c r="G80" s="98">
        <f>SUM(G77:G79)</f>
        <v>12500</v>
      </c>
      <c r="H80" s="152">
        <f>SUM(H77:H79)</f>
        <v>0</v>
      </c>
    </row>
    <row r="81" spans="1:8" x14ac:dyDescent="0.25">
      <c r="A81" s="44"/>
      <c r="H81" s="104"/>
    </row>
    <row r="82" spans="1:8" x14ac:dyDescent="0.25">
      <c r="A82" s="33" t="s">
        <v>98</v>
      </c>
      <c r="B82" s="85"/>
      <c r="E82" s="107"/>
      <c r="F82" s="85"/>
      <c r="G82" s="85"/>
      <c r="H82" s="86"/>
    </row>
    <row r="83" spans="1:8" x14ac:dyDescent="0.25">
      <c r="A83" s="125" t="s">
        <v>93</v>
      </c>
      <c r="B83" s="85"/>
      <c r="F83" s="85"/>
      <c r="G83" s="85"/>
      <c r="H83" s="153">
        <v>25000</v>
      </c>
    </row>
    <row r="84" spans="1:8" x14ac:dyDescent="0.25">
      <c r="A84" s="44"/>
      <c r="B84" s="85"/>
      <c r="F84" s="85"/>
      <c r="G84" s="85"/>
      <c r="H84" s="153"/>
    </row>
    <row r="85" spans="1:8" x14ac:dyDescent="0.25">
      <c r="A85" s="33" t="s">
        <v>99</v>
      </c>
      <c r="B85" s="85"/>
      <c r="D85" s="98">
        <f>SUM(D83:D84)</f>
        <v>0</v>
      </c>
      <c r="E85" s="98">
        <f t="shared" ref="E85:G85" si="7">SUM(E83:E84)</f>
        <v>0</v>
      </c>
      <c r="F85" s="98">
        <f t="shared" si="7"/>
        <v>0</v>
      </c>
      <c r="G85" s="98">
        <f t="shared" si="7"/>
        <v>0</v>
      </c>
      <c r="H85" s="152">
        <f>SUM(H83:H84)</f>
        <v>25000</v>
      </c>
    </row>
    <row r="86" spans="1:8" x14ac:dyDescent="0.25">
      <c r="A86" s="44"/>
      <c r="H86" s="104"/>
    </row>
    <row r="87" spans="1:8" s="89" customFormat="1" x14ac:dyDescent="0.25">
      <c r="A87" s="37" t="s">
        <v>7</v>
      </c>
      <c r="B87" s="87"/>
      <c r="C87" s="87"/>
      <c r="D87" s="88">
        <f>SUM(D85,D74,D80,D68,D63)</f>
        <v>55000</v>
      </c>
      <c r="E87" s="88">
        <f>SUM(E85,E74,E80,E68,E63)</f>
        <v>10000</v>
      </c>
      <c r="F87" s="88">
        <f>SUM(F85,F74,F80,F68,F63)</f>
        <v>12500</v>
      </c>
      <c r="G87" s="88">
        <f>SUM(G85,G74,G80,G68,G63)</f>
        <v>12500</v>
      </c>
      <c r="H87" s="154">
        <f>SUM(H85,H74,H80,H68,H63)</f>
        <v>25000</v>
      </c>
    </row>
    <row r="88" spans="1:8" x14ac:dyDescent="0.25">
      <c r="A88" s="44"/>
      <c r="H88" s="104"/>
    </row>
    <row r="89" spans="1:8" x14ac:dyDescent="0.25">
      <c r="A89" s="27" t="s">
        <v>8</v>
      </c>
      <c r="B89" s="51"/>
      <c r="C89" s="51"/>
      <c r="D89" s="51"/>
      <c r="E89" s="51"/>
      <c r="F89" s="51"/>
      <c r="G89" s="51"/>
      <c r="H89" s="42"/>
    </row>
    <row r="90" spans="1:8" x14ac:dyDescent="0.25">
      <c r="A90" s="116" t="s">
        <v>61</v>
      </c>
      <c r="D90" s="85">
        <f>+D87/5</f>
        <v>11000</v>
      </c>
      <c r="E90" s="155">
        <f>+D90</f>
        <v>11000</v>
      </c>
      <c r="F90" s="155">
        <f>+D90</f>
        <v>11000</v>
      </c>
      <c r="G90" s="155">
        <f>+D90</f>
        <v>11000</v>
      </c>
      <c r="H90" s="90">
        <f>+D90</f>
        <v>11000</v>
      </c>
    </row>
    <row r="91" spans="1:8" x14ac:dyDescent="0.25">
      <c r="A91" s="116" t="s">
        <v>62</v>
      </c>
      <c r="E91" s="155">
        <f>+E87/5</f>
        <v>2000</v>
      </c>
      <c r="F91" s="155">
        <f>+E91</f>
        <v>2000</v>
      </c>
      <c r="G91" s="155">
        <f>+F91</f>
        <v>2000</v>
      </c>
      <c r="H91" s="90">
        <f>+G91</f>
        <v>2000</v>
      </c>
    </row>
    <row r="92" spans="1:8" x14ac:dyDescent="0.25">
      <c r="A92" s="116" t="s">
        <v>63</v>
      </c>
      <c r="F92" s="155">
        <f>+F87/5</f>
        <v>2500</v>
      </c>
      <c r="G92" s="155">
        <f>+F92</f>
        <v>2500</v>
      </c>
      <c r="H92" s="90">
        <f>+G92</f>
        <v>2500</v>
      </c>
    </row>
    <row r="93" spans="1:8" x14ac:dyDescent="0.25">
      <c r="A93" s="116" t="s">
        <v>64</v>
      </c>
      <c r="G93" s="155">
        <f>+G87/5</f>
        <v>2500</v>
      </c>
      <c r="H93" s="90">
        <f>+G93</f>
        <v>2500</v>
      </c>
    </row>
    <row r="94" spans="1:8" x14ac:dyDescent="0.25">
      <c r="A94" s="116" t="s">
        <v>65</v>
      </c>
      <c r="H94" s="90">
        <f>+H87/5</f>
        <v>5000</v>
      </c>
    </row>
    <row r="95" spans="1:8" s="89" customFormat="1" x14ac:dyDescent="0.25">
      <c r="A95" s="37" t="s">
        <v>9</v>
      </c>
      <c r="B95" s="87"/>
      <c r="C95" s="87"/>
      <c r="D95" s="91">
        <f>SUM(D90:D94)</f>
        <v>11000</v>
      </c>
      <c r="E95" s="91">
        <f t="shared" ref="E95:H95" si="8">SUM(E90:E94)</f>
        <v>13000</v>
      </c>
      <c r="F95" s="91">
        <f t="shared" si="8"/>
        <v>15500</v>
      </c>
      <c r="G95" s="91">
        <f t="shared" si="8"/>
        <v>18000</v>
      </c>
      <c r="H95" s="92">
        <f t="shared" si="8"/>
        <v>23000</v>
      </c>
    </row>
  </sheetData>
  <mergeCells count="1">
    <mergeCell ref="A1:H1"/>
  </mergeCells>
  <phoneticPr fontId="18" type="noConversion"/>
  <pageMargins left="0.7" right="0.7" top="0.75" bottom="0.75" header="0.3" footer="0.3"/>
  <pageSetup paperSize="9" scale="3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7"/>
  <sheetViews>
    <sheetView zoomScale="120" zoomScaleNormal="120" zoomScalePageLayoutView="80" workbookViewId="0">
      <selection activeCell="D15" sqref="D15"/>
    </sheetView>
  </sheetViews>
  <sheetFormatPr defaultColWidth="8.77734375" defaultRowHeight="14.4" x14ac:dyDescent="0.3"/>
  <cols>
    <col min="1" max="1" width="62.77734375" bestFit="1" customWidth="1"/>
    <col min="2" max="3" width="9.44140625" bestFit="1" customWidth="1"/>
    <col min="4" max="5" width="10.44140625" bestFit="1" customWidth="1"/>
    <col min="6" max="6" width="10.77734375" bestFit="1" customWidth="1"/>
  </cols>
  <sheetData>
    <row r="1" spans="1:6" ht="18" x14ac:dyDescent="0.35">
      <c r="B1" s="18"/>
      <c r="C1" s="18"/>
      <c r="D1" s="18"/>
      <c r="E1" s="18"/>
      <c r="F1" s="18"/>
    </row>
    <row r="2" spans="1:6" ht="35.549999999999997" customHeight="1" x14ac:dyDescent="0.3">
      <c r="A2" s="176" t="s">
        <v>11</v>
      </c>
      <c r="B2" s="176"/>
      <c r="C2" s="176"/>
      <c r="D2" s="176"/>
      <c r="E2" s="176"/>
      <c r="F2" s="176"/>
    </row>
    <row r="3" spans="1:6" x14ac:dyDescent="0.3">
      <c r="A3" s="24"/>
      <c r="B3" s="99" t="s">
        <v>2</v>
      </c>
      <c r="C3" s="99" t="s">
        <v>3</v>
      </c>
      <c r="D3" s="99" t="s">
        <v>4</v>
      </c>
      <c r="E3" s="99" t="s">
        <v>5</v>
      </c>
      <c r="F3" s="99" t="s">
        <v>6</v>
      </c>
    </row>
    <row r="4" spans="1:6" x14ac:dyDescent="0.3">
      <c r="A4" s="7" t="s">
        <v>15</v>
      </c>
      <c r="B4" s="8"/>
      <c r="C4" s="8"/>
      <c r="D4" s="110"/>
      <c r="E4" s="9"/>
      <c r="F4" s="10"/>
    </row>
    <row r="5" spans="1:6" x14ac:dyDescent="0.3">
      <c r="A5" s="11" t="s">
        <v>16</v>
      </c>
      <c r="B5" s="3">
        <f>-'Conto Economico'!D87</f>
        <v>-55000</v>
      </c>
      <c r="C5" s="3">
        <f>-'Conto Economico'!E87</f>
        <v>-10000</v>
      </c>
      <c r="D5" s="3">
        <f>-'Conto Economico'!F87</f>
        <v>-12500</v>
      </c>
      <c r="E5" s="3">
        <f>-'Conto Economico'!G87</f>
        <v>-12500</v>
      </c>
      <c r="F5" s="12">
        <f>-'Conto Economico'!H87</f>
        <v>-25000</v>
      </c>
    </row>
    <row r="6" spans="1:6" x14ac:dyDescent="0.3">
      <c r="A6" s="11" t="s">
        <v>17</v>
      </c>
      <c r="B6" s="3">
        <f>+B5*0.22</f>
        <v>-12100</v>
      </c>
      <c r="C6" s="3">
        <f t="shared" ref="C6:F6" si="0">+C5*0.22</f>
        <v>-2200</v>
      </c>
      <c r="D6" s="3">
        <f t="shared" si="0"/>
        <v>-2750</v>
      </c>
      <c r="E6" s="3">
        <f t="shared" si="0"/>
        <v>-2750</v>
      </c>
      <c r="F6" s="12">
        <f t="shared" si="0"/>
        <v>-5500</v>
      </c>
    </row>
    <row r="7" spans="1:6" x14ac:dyDescent="0.3">
      <c r="A7" s="118" t="s">
        <v>18</v>
      </c>
      <c r="B7" s="119">
        <f>SUM(B5:B6)</f>
        <v>-67100</v>
      </c>
      <c r="C7" s="119">
        <f>SUM(C5:C6)</f>
        <v>-12200</v>
      </c>
      <c r="D7" s="119">
        <f>SUM(D5:D6)</f>
        <v>-15250</v>
      </c>
      <c r="E7" s="119">
        <f>SUM(E5:E6)</f>
        <v>-15250</v>
      </c>
      <c r="F7" s="120">
        <f>SUM(F5:F6)</f>
        <v>-30500</v>
      </c>
    </row>
    <row r="8" spans="1:6" ht="10.050000000000001" customHeight="1" x14ac:dyDescent="0.3">
      <c r="A8" s="3"/>
      <c r="B8" s="3"/>
      <c r="C8" s="3"/>
      <c r="D8" s="4"/>
      <c r="E8" s="108"/>
      <c r="F8" s="108"/>
    </row>
    <row r="9" spans="1:6" x14ac:dyDescent="0.3">
      <c r="A9" s="7" t="s">
        <v>19</v>
      </c>
      <c r="B9" s="8"/>
      <c r="C9" s="8"/>
      <c r="D9" s="110"/>
      <c r="E9" s="9"/>
      <c r="F9" s="10"/>
    </row>
    <row r="10" spans="1:6" x14ac:dyDescent="0.3">
      <c r="A10" s="11" t="s">
        <v>37</v>
      </c>
      <c r="B10" s="3">
        <v>32000</v>
      </c>
      <c r="C10" s="3"/>
      <c r="D10" s="3"/>
      <c r="E10" s="3"/>
      <c r="F10" s="12"/>
    </row>
    <row r="11" spans="1:6" x14ac:dyDescent="0.3">
      <c r="A11" s="11" t="s">
        <v>50</v>
      </c>
      <c r="B11" s="124">
        <v>205000</v>
      </c>
      <c r="C11" s="124">
        <v>40000</v>
      </c>
      <c r="D11" s="3"/>
      <c r="E11" s="3"/>
      <c r="F11" s="12"/>
    </row>
    <row r="12" spans="1:6" x14ac:dyDescent="0.3">
      <c r="A12" s="11" t="s">
        <v>20</v>
      </c>
      <c r="B12" s="3"/>
      <c r="C12" s="3"/>
      <c r="D12" s="3"/>
      <c r="E12" s="3"/>
      <c r="F12" s="12"/>
    </row>
    <row r="13" spans="1:6" x14ac:dyDescent="0.3">
      <c r="A13" s="11" t="s">
        <v>21</v>
      </c>
      <c r="B13" s="3"/>
      <c r="C13" s="3"/>
      <c r="D13" s="3"/>
      <c r="E13" s="3"/>
      <c r="F13" s="12"/>
    </row>
    <row r="14" spans="1:6" x14ac:dyDescent="0.3">
      <c r="A14" s="11" t="s">
        <v>22</v>
      </c>
      <c r="B14" s="3"/>
      <c r="C14" s="3"/>
      <c r="D14" s="3"/>
      <c r="E14" s="3"/>
      <c r="F14" s="12"/>
    </row>
    <row r="15" spans="1:6" x14ac:dyDescent="0.3">
      <c r="A15" s="118" t="s">
        <v>23</v>
      </c>
      <c r="B15" s="119">
        <f>SUM(B9:B14)</f>
        <v>237000</v>
      </c>
      <c r="C15" s="119">
        <f>SUM(C9:C14)</f>
        <v>40000</v>
      </c>
      <c r="D15" s="119">
        <f>SUM(D9:D14)</f>
        <v>0</v>
      </c>
      <c r="E15" s="119">
        <f>SUM(E9:E14)</f>
        <v>0</v>
      </c>
      <c r="F15" s="120">
        <f>SUM(F9:F14)</f>
        <v>0</v>
      </c>
    </row>
    <row r="16" spans="1:6" ht="10.050000000000001" customHeight="1" x14ac:dyDescent="0.3">
      <c r="A16" s="109"/>
      <c r="B16" s="5"/>
      <c r="C16" s="3"/>
      <c r="D16" s="3"/>
      <c r="E16" s="3"/>
      <c r="F16" s="3"/>
    </row>
    <row r="17" spans="1:6" x14ac:dyDescent="0.3">
      <c r="A17" s="7" t="s">
        <v>24</v>
      </c>
      <c r="B17" s="15"/>
      <c r="C17" s="8"/>
      <c r="D17" s="110"/>
      <c r="E17" s="16"/>
      <c r="F17" s="17"/>
    </row>
    <row r="18" spans="1:6" x14ac:dyDescent="0.3">
      <c r="A18" s="11" t="s">
        <v>25</v>
      </c>
      <c r="B18" s="3">
        <f>+'Conto Economico'!D28</f>
        <v>41200</v>
      </c>
      <c r="C18" s="3">
        <f>+'Conto Economico'!E28</f>
        <v>165500</v>
      </c>
      <c r="D18" s="3">
        <f>+'Conto Economico'!F28</f>
        <v>1022000</v>
      </c>
      <c r="E18" s="3">
        <f>+'Conto Economico'!G28</f>
        <v>1795500</v>
      </c>
      <c r="F18" s="12">
        <f>+'Conto Economico'!H28</f>
        <v>2570000</v>
      </c>
    </row>
    <row r="19" spans="1:6" x14ac:dyDescent="0.3">
      <c r="A19" s="11" t="s">
        <v>26</v>
      </c>
      <c r="B19" s="3">
        <f>+B18*22%</f>
        <v>9064</v>
      </c>
      <c r="C19" s="3">
        <f>+C18*22%</f>
        <v>36410</v>
      </c>
      <c r="D19" s="3">
        <f>+D18*22%</f>
        <v>224840</v>
      </c>
      <c r="E19" s="3">
        <f>+E18*22%</f>
        <v>395010</v>
      </c>
      <c r="F19" s="12">
        <f>+F18*22%</f>
        <v>565400</v>
      </c>
    </row>
    <row r="20" spans="1:6" x14ac:dyDescent="0.3">
      <c r="A20" s="11" t="s">
        <v>27</v>
      </c>
      <c r="B20" s="3">
        <f>-'Conto Economico'!D35-'Conto Economico'!D45</f>
        <v>-191200</v>
      </c>
      <c r="C20" s="3">
        <f>-'Conto Economico'!E35-'Conto Economico'!E45</f>
        <v>-205500</v>
      </c>
      <c r="D20" s="3">
        <f>-'Conto Economico'!F35-'Conto Economico'!F45</f>
        <v>-302500</v>
      </c>
      <c r="E20" s="3">
        <f>-'Conto Economico'!G35-'Conto Economico'!G45</f>
        <v>-388000</v>
      </c>
      <c r="F20" s="12">
        <f>-'Conto Economico'!H35-'Conto Economico'!H45</f>
        <v>-427000</v>
      </c>
    </row>
    <row r="21" spans="1:6" x14ac:dyDescent="0.3">
      <c r="A21" s="11" t="s">
        <v>28</v>
      </c>
      <c r="B21" s="3">
        <f>(+B20+'Conto Economico'!D38)*0.22</f>
        <v>-24464</v>
      </c>
      <c r="C21" s="3">
        <f>(+C20+'Conto Economico'!E38)*0.22</f>
        <v>-27610</v>
      </c>
      <c r="D21" s="3">
        <f>(+D20+'Conto Economico'!F38)*0.22</f>
        <v>-40150</v>
      </c>
      <c r="E21" s="3">
        <f>+(E20+'Conto Economico'!G38)*22%</f>
        <v>-50160</v>
      </c>
      <c r="F21" s="12">
        <f>+(F20+'Conto Economico'!H38)*22%</f>
        <v>-58740</v>
      </c>
    </row>
    <row r="22" spans="1:6" x14ac:dyDescent="0.3">
      <c r="A22" s="11" t="s">
        <v>29</v>
      </c>
      <c r="B22" s="3">
        <f>-IF(B46&lt;0,0,B46)</f>
        <v>0</v>
      </c>
      <c r="C22" s="3">
        <f t="shared" ref="C22:F22" si="1">-IF(C46&lt;0,0,C46)</f>
        <v>0</v>
      </c>
      <c r="D22" s="3">
        <f t="shared" si="1"/>
        <v>-161040</v>
      </c>
      <c r="E22" s="3">
        <f t="shared" si="1"/>
        <v>-342100</v>
      </c>
      <c r="F22" s="12">
        <f t="shared" si="1"/>
        <v>-501160</v>
      </c>
    </row>
    <row r="23" spans="1:6" x14ac:dyDescent="0.3">
      <c r="A23" s="118" t="s">
        <v>30</v>
      </c>
      <c r="B23" s="119">
        <f>SUM(B16:B22)</f>
        <v>-165400</v>
      </c>
      <c r="C23" s="119">
        <f>SUM(C16:C22)</f>
        <v>-31200</v>
      </c>
      <c r="D23" s="119">
        <f>SUM(D16:D22)</f>
        <v>743150</v>
      </c>
      <c r="E23" s="119">
        <f>SUM(E16:E22)</f>
        <v>1410250</v>
      </c>
      <c r="F23" s="120">
        <f>SUM(F16:F22)</f>
        <v>2148500</v>
      </c>
    </row>
    <row r="24" spans="1:6" ht="10.050000000000001" customHeight="1" x14ac:dyDescent="0.3">
      <c r="A24" s="109"/>
      <c r="B24" s="3"/>
      <c r="C24" s="3"/>
      <c r="D24" s="4"/>
      <c r="E24" s="6"/>
      <c r="F24" s="6"/>
    </row>
    <row r="25" spans="1:6" x14ac:dyDescent="0.3">
      <c r="A25" s="22" t="s">
        <v>31</v>
      </c>
      <c r="B25" s="15">
        <f>+B7+B23</f>
        <v>-232500</v>
      </c>
      <c r="C25" s="15">
        <f>+C7+C23</f>
        <v>-43400</v>
      </c>
      <c r="D25" s="15">
        <f>+D7+D23</f>
        <v>727900</v>
      </c>
      <c r="E25" s="15">
        <f>+E7+E23</f>
        <v>1395000</v>
      </c>
      <c r="F25" s="23">
        <f>+F7+F23</f>
        <v>2118000</v>
      </c>
    </row>
    <row r="26" spans="1:6" x14ac:dyDescent="0.3">
      <c r="A26" s="11" t="s">
        <v>32</v>
      </c>
      <c r="B26" s="3">
        <f>+'Conto Economico'!D54</f>
        <v>0</v>
      </c>
      <c r="C26" s="3">
        <f>+'Conto Economico'!E54</f>
        <v>0</v>
      </c>
      <c r="D26" s="3">
        <f>+'Conto Economico'!F54</f>
        <v>-225280</v>
      </c>
      <c r="E26" s="3">
        <f>+'Conto Economico'!G54</f>
        <v>-444640</v>
      </c>
      <c r="F26" s="12">
        <f>+'Conto Economico'!H54</f>
        <v>-678400</v>
      </c>
    </row>
    <row r="27" spans="1:6" x14ac:dyDescent="0.3">
      <c r="A27" s="25" t="s">
        <v>33</v>
      </c>
      <c r="B27" s="13">
        <f>+B25+B26</f>
        <v>-232500</v>
      </c>
      <c r="C27" s="13">
        <f>+C25+C26</f>
        <v>-43400</v>
      </c>
      <c r="D27" s="13">
        <f>+D25+D26</f>
        <v>502620</v>
      </c>
      <c r="E27" s="13">
        <f>+E25+E26</f>
        <v>950360</v>
      </c>
      <c r="F27" s="14">
        <f>+F25+F26</f>
        <v>1439600</v>
      </c>
    </row>
    <row r="28" spans="1:6" ht="10.050000000000001" customHeight="1" x14ac:dyDescent="0.3">
      <c r="A28" s="111"/>
      <c r="B28" s="5"/>
      <c r="C28" s="5"/>
      <c r="D28" s="5"/>
      <c r="E28" s="5"/>
      <c r="F28" s="5"/>
    </row>
    <row r="29" spans="1:6" x14ac:dyDescent="0.3">
      <c r="A29" s="121" t="s">
        <v>34</v>
      </c>
      <c r="B29" s="122">
        <f>+B23+B15+B7+B26</f>
        <v>4500</v>
      </c>
      <c r="C29" s="122">
        <f>+C23+C15+C7+C26</f>
        <v>-3400</v>
      </c>
      <c r="D29" s="122">
        <f>+D23+D15+D7+D26</f>
        <v>502620</v>
      </c>
      <c r="E29" s="122">
        <f>+E23+E15+E7+E26</f>
        <v>950360</v>
      </c>
      <c r="F29" s="123">
        <f>+F23+F15+F7+F26</f>
        <v>1439600</v>
      </c>
    </row>
    <row r="30" spans="1:6" x14ac:dyDescent="0.3">
      <c r="A30" s="5"/>
      <c r="B30" s="3"/>
      <c r="C30" s="3"/>
      <c r="D30" s="4"/>
      <c r="E30" s="6"/>
      <c r="F30" s="6"/>
    </row>
    <row r="31" spans="1:6" x14ac:dyDescent="0.3">
      <c r="A31" s="19" t="s">
        <v>66</v>
      </c>
      <c r="B31" s="20">
        <f>+B29</f>
        <v>4500</v>
      </c>
      <c r="C31" s="20">
        <f>+C29+B31</f>
        <v>1100</v>
      </c>
      <c r="D31" s="20">
        <f>+D29+C31</f>
        <v>503720</v>
      </c>
      <c r="E31" s="20">
        <f>+E29+D31</f>
        <v>1454080</v>
      </c>
      <c r="F31" s="21">
        <f>+F29+E31</f>
        <v>2893680</v>
      </c>
    </row>
    <row r="36" spans="1:6" s="26" customFormat="1" ht="13.8" x14ac:dyDescent="0.25"/>
    <row r="37" spans="1:6" s="26" customFormat="1" ht="13.8" x14ac:dyDescent="0.25">
      <c r="A37" s="27" t="s">
        <v>67</v>
      </c>
      <c r="B37" s="28"/>
      <c r="C37" s="28"/>
      <c r="D37" s="28"/>
      <c r="E37" s="28"/>
      <c r="F37" s="29"/>
    </row>
    <row r="38" spans="1:6" s="26" customFormat="1" ht="13.8" x14ac:dyDescent="0.25">
      <c r="A38" s="116" t="s">
        <v>68</v>
      </c>
      <c r="B38" s="31">
        <f>-B6</f>
        <v>12100</v>
      </c>
      <c r="C38" s="31">
        <f>-C6</f>
        <v>2200</v>
      </c>
      <c r="D38" s="31">
        <f>-D6</f>
        <v>2750</v>
      </c>
      <c r="E38" s="31">
        <f>-E6</f>
        <v>2750</v>
      </c>
      <c r="F38" s="32">
        <f>-F6</f>
        <v>5500</v>
      </c>
    </row>
    <row r="39" spans="1:6" s="26" customFormat="1" ht="13.8" x14ac:dyDescent="0.25">
      <c r="A39" s="116" t="s">
        <v>69</v>
      </c>
      <c r="B39" s="31">
        <f>-B21</f>
        <v>24464</v>
      </c>
      <c r="C39" s="31">
        <f>-C21</f>
        <v>27610</v>
      </c>
      <c r="D39" s="31">
        <f>-D21</f>
        <v>40150</v>
      </c>
      <c r="E39" s="31">
        <f>-E21</f>
        <v>50160</v>
      </c>
      <c r="F39" s="32">
        <f>-F21</f>
        <v>58740</v>
      </c>
    </row>
    <row r="40" spans="1:6" s="26" customFormat="1" ht="13.8" x14ac:dyDescent="0.25">
      <c r="A40" s="33" t="s">
        <v>70</v>
      </c>
      <c r="B40" s="34">
        <f>SUM(B38:B39)</f>
        <v>36564</v>
      </c>
      <c r="C40" s="34">
        <f t="shared" ref="C40:F40" si="2">SUM(C38:C39)</f>
        <v>29810</v>
      </c>
      <c r="D40" s="34">
        <f t="shared" si="2"/>
        <v>42900</v>
      </c>
      <c r="E40" s="34">
        <f t="shared" si="2"/>
        <v>52910</v>
      </c>
      <c r="F40" s="35">
        <f t="shared" si="2"/>
        <v>64240</v>
      </c>
    </row>
    <row r="41" spans="1:6" x14ac:dyDescent="0.3">
      <c r="A41" s="1"/>
      <c r="F41" s="2"/>
    </row>
    <row r="42" spans="1:6" s="26" customFormat="1" ht="13.8" x14ac:dyDescent="0.25">
      <c r="A42" s="11" t="s">
        <v>71</v>
      </c>
      <c r="B42" s="31">
        <f>+B19</f>
        <v>9064</v>
      </c>
      <c r="C42" s="31">
        <f>+C19</f>
        <v>36410</v>
      </c>
      <c r="D42" s="31">
        <f>+D19</f>
        <v>224840</v>
      </c>
      <c r="E42" s="31">
        <f>+E19</f>
        <v>395010</v>
      </c>
      <c r="F42" s="32">
        <f>+F19</f>
        <v>565400</v>
      </c>
    </row>
    <row r="43" spans="1:6" s="26" customFormat="1" ht="13.8" x14ac:dyDescent="0.25">
      <c r="A43" s="30"/>
      <c r="F43" s="36"/>
    </row>
    <row r="44" spans="1:6" s="26" customFormat="1" ht="13.8" x14ac:dyDescent="0.25">
      <c r="A44" s="116" t="s">
        <v>72</v>
      </c>
      <c r="B44" s="31">
        <f>+B42-B40</f>
        <v>-27500</v>
      </c>
      <c r="C44" s="31">
        <f t="shared" ref="C44:F44" si="3">+C42-C40</f>
        <v>6600</v>
      </c>
      <c r="D44" s="31">
        <f t="shared" si="3"/>
        <v>181940</v>
      </c>
      <c r="E44" s="31">
        <f t="shared" si="3"/>
        <v>342100</v>
      </c>
      <c r="F44" s="32">
        <f t="shared" si="3"/>
        <v>501160</v>
      </c>
    </row>
    <row r="45" spans="1:6" s="26" customFormat="1" ht="13.8" x14ac:dyDescent="0.25">
      <c r="A45" s="30"/>
      <c r="F45" s="36"/>
    </row>
    <row r="46" spans="1:6" s="26" customFormat="1" ht="13.8" x14ac:dyDescent="0.25">
      <c r="A46" s="37" t="s">
        <v>73</v>
      </c>
      <c r="B46" s="38">
        <f>+B44</f>
        <v>-27500</v>
      </c>
      <c r="C46" s="38">
        <f>+IF(B46&lt;0,B46+C44,C44)</f>
        <v>-20900</v>
      </c>
      <c r="D46" s="38">
        <f t="shared" ref="D46:F46" si="4">+IF(C46&lt;0,C46+D44,D44)</f>
        <v>161040</v>
      </c>
      <c r="E46" s="38">
        <f t="shared" si="4"/>
        <v>342100</v>
      </c>
      <c r="F46" s="39">
        <f t="shared" si="4"/>
        <v>501160</v>
      </c>
    </row>
    <row r="47" spans="1:6" x14ac:dyDescent="0.3">
      <c r="B47" s="31"/>
    </row>
  </sheetData>
  <mergeCells count="1">
    <mergeCell ref="A2:F2"/>
  </mergeCells>
  <phoneticPr fontId="18" type="noConversion"/>
  <pageMargins left="0.25" right="0.25" top="0.75" bottom="0.75" header="0.3" footer="0.3"/>
  <pageSetup paperSize="9" scale="72" orientation="landscape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4B5320CA2903498C1AE9DF43A5A248" ma:contentTypeVersion="4" ma:contentTypeDescription="Creare un nuovo documento." ma:contentTypeScope="" ma:versionID="6e5470225db0c26090031ce021c20b36">
  <xsd:schema xmlns:xsd="http://www.w3.org/2001/XMLSchema" xmlns:xs="http://www.w3.org/2001/XMLSchema" xmlns:p="http://schemas.microsoft.com/office/2006/metadata/properties" xmlns:ns2="ba529f1c-03b4-4ac5-bf7c-0a5cbc727b6e" targetNamespace="http://schemas.microsoft.com/office/2006/metadata/properties" ma:root="true" ma:fieldsID="bbfacc79cdcea4694a0b06349058b1e2" ns2:_="">
    <xsd:import namespace="ba529f1c-03b4-4ac5-bf7c-0a5cbc727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29f1c-03b4-4ac5-bf7c-0a5cbc727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E5BD2B-D086-4FE2-B70E-8D4755B2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989890-78DE-4080-A263-12BEAE067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29f1c-03b4-4ac5-bf7c-0a5cbc727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83F3BA-B0DF-477A-94D9-F0A319B01434}">
  <ds:schemaRefs>
    <ds:schemaRef ds:uri="ba529f1c-03b4-4ac5-bf7c-0a5cbc727b6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note</vt:lpstr>
      <vt:lpstr>Conto Economico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Smeriglio</dc:creator>
  <cp:lastModifiedBy>Giovanni Ciarravano</cp:lastModifiedBy>
  <cp:lastPrinted>2024-12-19T15:46:54Z</cp:lastPrinted>
  <dcterms:created xsi:type="dcterms:W3CDTF">2015-12-02T16:14:15Z</dcterms:created>
  <dcterms:modified xsi:type="dcterms:W3CDTF">2024-12-19T15:51:20Z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0x0101002D4B5320CA2903498C1AE9DF43A5A248</vt:lpwstr>
  </property>
</Properties>
</file>